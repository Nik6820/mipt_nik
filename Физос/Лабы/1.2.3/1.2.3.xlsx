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30b3d3d28a5afae6/Desktop/repositories/mipt_nik/Физос/Лабы/1.2.3/"/>
    </mc:Choice>
  </mc:AlternateContent>
  <xr:revisionPtr revIDLastSave="1" documentId="11_23DC658F2A30751EE3A05453457034446D3DC4C2" xr6:coauthVersionLast="45" xr6:coauthVersionMax="45" xr10:uidLastSave="{62FDD6E2-538D-4407-AC9A-018B92DF6827}"/>
  <bookViews>
    <workbookView xWindow="-120" yWindow="-120" windowWidth="29040" windowHeight="15720" activeTab="2" xr2:uid="{00000000-000D-0000-FFFF-FFFF00000000}"/>
  </bookViews>
  <sheets>
    <sheet name="Лист1" sheetId="1" r:id="rId1"/>
    <sheet name="Лист2" sheetId="2" r:id="rId2"/>
    <sheet name="те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6" i="3" l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53" i="1"/>
  <c r="L52" i="1"/>
  <c r="M53" i="1"/>
  <c r="M52" i="1"/>
  <c r="L47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K48" i="1"/>
  <c r="L48" i="1"/>
  <c r="L32" i="1"/>
  <c r="K32" i="1"/>
  <c r="H12" i="3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33" i="1"/>
  <c r="K15" i="1"/>
  <c r="K16" i="1"/>
  <c r="K17" i="1"/>
  <c r="K18" i="1"/>
  <c r="K19" i="1"/>
  <c r="K20" i="1"/>
  <c r="K21" i="1"/>
  <c r="K22" i="1"/>
  <c r="K23" i="1"/>
  <c r="K24" i="1"/>
  <c r="K25" i="1"/>
  <c r="L25" i="1" s="1"/>
  <c r="K26" i="1"/>
  <c r="L26" i="1" s="1"/>
  <c r="K27" i="1"/>
  <c r="K28" i="1"/>
  <c r="K29" i="1"/>
  <c r="K30" i="1"/>
  <c r="K14" i="1"/>
  <c r="L14" i="1" s="1"/>
  <c r="G21" i="3"/>
  <c r="G19" i="3"/>
  <c r="G13" i="3"/>
  <c r="G10" i="3"/>
  <c r="B9" i="3"/>
  <c r="B10" i="3" s="1"/>
  <c r="E19" i="3"/>
  <c r="D19" i="3"/>
  <c r="C19" i="3"/>
  <c r="B19" i="3"/>
  <c r="E16" i="3"/>
  <c r="D16" i="3"/>
  <c r="C15" i="3"/>
  <c r="C16" i="3" s="1"/>
  <c r="B16" i="3"/>
  <c r="E13" i="3"/>
  <c r="D13" i="3"/>
  <c r="C12" i="3"/>
  <c r="C13" i="3" s="1"/>
  <c r="B13" i="3"/>
  <c r="E10" i="3"/>
  <c r="D10" i="3"/>
  <c r="C9" i="3"/>
  <c r="C10" i="3" s="1"/>
  <c r="G3" i="3"/>
  <c r="E3" i="3"/>
  <c r="C3" i="3"/>
  <c r="D3" i="3"/>
  <c r="B3" i="3"/>
  <c r="C2" i="3"/>
  <c r="B2" i="3"/>
  <c r="X23" i="1"/>
  <c r="V23" i="1"/>
  <c r="T23" i="1"/>
  <c r="W23" i="1"/>
  <c r="W27" i="1"/>
  <c r="U23" i="1"/>
  <c r="S23" i="1"/>
  <c r="Y11" i="1"/>
  <c r="Y16" i="1"/>
  <c r="Y13" i="1"/>
  <c r="Y10" i="1"/>
  <c r="Y7" i="1"/>
  <c r="Z9" i="1"/>
  <c r="Z12" i="1"/>
  <c r="Z15" i="1"/>
  <c r="Z6" i="1"/>
  <c r="Y9" i="1"/>
  <c r="Y12" i="1"/>
  <c r="Y15" i="1"/>
  <c r="Y6" i="1"/>
  <c r="T22" i="1"/>
  <c r="X22" i="1"/>
  <c r="V22" i="1"/>
  <c r="X15" i="1"/>
  <c r="X12" i="1"/>
  <c r="X9" i="1"/>
  <c r="X6" i="1"/>
  <c r="Q9" i="1"/>
  <c r="L15" i="1"/>
  <c r="L16" i="1"/>
  <c r="L17" i="1"/>
  <c r="L18" i="1"/>
  <c r="L19" i="1"/>
  <c r="L20" i="1"/>
  <c r="L21" i="1"/>
  <c r="L22" i="1"/>
  <c r="L23" i="1"/>
  <c r="L24" i="1"/>
  <c r="L27" i="1"/>
  <c r="L28" i="1"/>
  <c r="L29" i="1"/>
  <c r="L30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18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25" i="1"/>
  <c r="O24" i="1"/>
  <c r="O23" i="1"/>
  <c r="O22" i="1"/>
  <c r="O21" i="1"/>
  <c r="O20" i="1"/>
  <c r="O19" i="1"/>
  <c r="X21" i="1"/>
  <c r="V21" i="1"/>
  <c r="T21" i="1"/>
  <c r="T16" i="1"/>
  <c r="T13" i="1"/>
  <c r="T10" i="1"/>
  <c r="T7" i="1"/>
  <c r="O18" i="1"/>
  <c r="P38" i="1"/>
  <c r="P39" i="1"/>
  <c r="P40" i="1"/>
  <c r="P41" i="1"/>
  <c r="P42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18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14" i="1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18" i="2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14" i="1"/>
  <c r="W22" i="1"/>
  <c r="W21" i="1"/>
  <c r="U22" i="1"/>
  <c r="S22" i="1"/>
  <c r="U21" i="1"/>
  <c r="S21" i="1"/>
  <c r="W11" i="1"/>
  <c r="Q8" i="1"/>
  <c r="W9" i="1"/>
  <c r="W12" i="1"/>
  <c r="W15" i="1"/>
  <c r="W6" i="1"/>
  <c r="T9" i="1"/>
  <c r="T12" i="1"/>
  <c r="T15" i="1"/>
  <c r="T6" i="1"/>
  <c r="W18" i="1"/>
  <c r="S15" i="1"/>
  <c r="S12" i="1"/>
  <c r="W19" i="1"/>
  <c r="U19" i="1"/>
  <c r="S19" i="1"/>
  <c r="S16" i="1"/>
  <c r="S13" i="1"/>
  <c r="S10" i="1"/>
  <c r="S7" i="1"/>
  <c r="P8" i="1"/>
  <c r="K9" i="1"/>
  <c r="D9" i="1" l="1"/>
  <c r="G9" i="1"/>
  <c r="A9" i="1"/>
  <c r="K7" i="1" s="1"/>
  <c r="I7" i="1"/>
  <c r="M7" i="1" s="1"/>
  <c r="L7" i="1" s="1"/>
  <c r="L9" i="1" s="1"/>
  <c r="F7" i="1"/>
  <c r="C7" i="1"/>
</calcChain>
</file>

<file path=xl/sharedStrings.xml><?xml version="1.0" encoding="utf-8"?>
<sst xmlns="http://schemas.openxmlformats.org/spreadsheetml/2006/main" count="69" uniqueCount="43">
  <si>
    <t>R</t>
  </si>
  <si>
    <t>r</t>
  </si>
  <si>
    <t>z_0</t>
  </si>
  <si>
    <t>k</t>
  </si>
  <si>
    <t>g</t>
  </si>
  <si>
    <t>pi</t>
  </si>
  <si>
    <t>Пустой</t>
  </si>
  <si>
    <t>T</t>
  </si>
  <si>
    <t>Кольцо</t>
  </si>
  <si>
    <t>Диск</t>
  </si>
  <si>
    <t>Кольцо+диск</t>
  </si>
  <si>
    <t>Брусок</t>
  </si>
  <si>
    <t>полукруг /1</t>
  </si>
  <si>
    <t>полукруг/5</t>
  </si>
  <si>
    <t>сумма полукругов</t>
  </si>
  <si>
    <t>I</t>
  </si>
  <si>
    <t>m0</t>
  </si>
  <si>
    <t>m</t>
  </si>
  <si>
    <t>s</t>
  </si>
  <si>
    <t>t</t>
  </si>
  <si>
    <t>T^2</t>
  </si>
  <si>
    <t>h^2</t>
  </si>
  <si>
    <t>dI</t>
  </si>
  <si>
    <t>dk</t>
  </si>
  <si>
    <t>dm</t>
  </si>
  <si>
    <t>dT</t>
  </si>
  <si>
    <t>Диск и кольцо</t>
  </si>
  <si>
    <t>полукруг 1</t>
  </si>
  <si>
    <t>полукруг 2</t>
  </si>
  <si>
    <t>сумма полу</t>
  </si>
  <si>
    <t>h</t>
  </si>
  <si>
    <t>deltaI</t>
  </si>
  <si>
    <t>+-</t>
  </si>
  <si>
    <t>I(без стола)</t>
  </si>
  <si>
    <t>цилиндр</t>
  </si>
  <si>
    <t>диск</t>
  </si>
  <si>
    <t>полу1</t>
  </si>
  <si>
    <t>полу2</t>
  </si>
  <si>
    <t>брусок</t>
  </si>
  <si>
    <t>a</t>
  </si>
  <si>
    <t>b</t>
  </si>
  <si>
    <t>c</t>
  </si>
  <si>
    <t>два полуцил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</si>
</sst>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"/>
    <numFmt numFmtId="167" formatCode="0.0000"/>
    <numFmt numFmtId="168" formatCode="0.0000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65" fontId="0" fillId="0" borderId="0" xfId="0" applyNumberFormat="1"/>
    <xf numFmtId="167" fontId="0" fillId="0" borderId="0" xfId="0" applyNumberFormat="1"/>
    <xf numFmtId="49" fontId="0" fillId="0" borderId="0" xfId="0" applyNumberFormat="1"/>
    <xf numFmtId="168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Лист2!$A$1:$A$17</c:f>
              <c:numCache>
                <c:formatCode>General</c:formatCode>
                <c:ptCount val="17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</c:numCache>
            </c:numRef>
          </c:xVal>
          <c:yVal>
            <c:numRef>
              <c:f>Лист2!$B$1:$B$17</c:f>
              <c:numCache>
                <c:formatCode>General</c:formatCode>
                <c:ptCount val="17"/>
                <c:pt idx="0">
                  <c:v>9.4474267777777801</c:v>
                </c:pt>
                <c:pt idx="1">
                  <c:v>9.5090001111111082</c:v>
                </c:pt>
                <c:pt idx="2">
                  <c:v>9.5934737777777777</c:v>
                </c:pt>
                <c:pt idx="3">
                  <c:v>9.7572934444444446</c:v>
                </c:pt>
                <c:pt idx="4">
                  <c:v>10.051013444444443</c:v>
                </c:pt>
                <c:pt idx="5">
                  <c:v>10.394175999999998</c:v>
                </c:pt>
                <c:pt idx="6">
                  <c:v>10.762773777777779</c:v>
                </c:pt>
                <c:pt idx="7">
                  <c:v>11.173420444444444</c:v>
                </c:pt>
                <c:pt idx="8">
                  <c:v>11.815260444444446</c:v>
                </c:pt>
                <c:pt idx="9">
                  <c:v>12.376323999999999</c:v>
                </c:pt>
                <c:pt idx="10">
                  <c:v>13.157547111111109</c:v>
                </c:pt>
                <c:pt idx="11">
                  <c:v>13.957695999999999</c:v>
                </c:pt>
                <c:pt idx="12">
                  <c:v>14.748160111111114</c:v>
                </c:pt>
                <c:pt idx="13">
                  <c:v>15.652573444444444</c:v>
                </c:pt>
                <c:pt idx="14">
                  <c:v>16.700844444444446</c:v>
                </c:pt>
                <c:pt idx="15">
                  <c:v>17.754986777777777</c:v>
                </c:pt>
                <c:pt idx="16">
                  <c:v>18.922499999999996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C1-463F-B852-971F0D75D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620176"/>
        <c:axId val="788766912"/>
      </c:scatterChart>
      <c:valAx>
        <c:axId val="410620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8766912"/>
        <c:crosses val="autoZero"/>
        <c:crossBetween val="midCat"/>
      </c:valAx>
      <c:valAx>
        <c:axId val="78876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0620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Лист2!$A$18:$A$34</c:f>
              <c:numCache>
                <c:formatCode>General</c:formatCode>
                <c:ptCount val="17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</c:numCache>
            </c:numRef>
          </c:xVal>
          <c:yVal>
            <c:numRef>
              <c:f>Лист2!$B$18:$B$34</c:f>
              <c:numCache>
                <c:formatCode>General</c:formatCode>
                <c:ptCount val="17"/>
                <c:pt idx="0">
                  <c:v>3.073666666666667</c:v>
                </c:pt>
                <c:pt idx="1">
                  <c:v>3.0836666666666663</c:v>
                </c:pt>
                <c:pt idx="2">
                  <c:v>3.0973333333333333</c:v>
                </c:pt>
                <c:pt idx="3">
                  <c:v>3.1236666666666668</c:v>
                </c:pt>
                <c:pt idx="4">
                  <c:v>3.1703333333333332</c:v>
                </c:pt>
                <c:pt idx="5">
                  <c:v>3.2239999999999998</c:v>
                </c:pt>
                <c:pt idx="6">
                  <c:v>3.2806666666666668</c:v>
                </c:pt>
                <c:pt idx="7">
                  <c:v>3.3426666666666667</c:v>
                </c:pt>
                <c:pt idx="8">
                  <c:v>3.4373333333333336</c:v>
                </c:pt>
                <c:pt idx="9">
                  <c:v>3.5179999999999998</c:v>
                </c:pt>
                <c:pt idx="10">
                  <c:v>3.6273333333333331</c:v>
                </c:pt>
                <c:pt idx="11">
                  <c:v>3.7359999999999998</c:v>
                </c:pt>
                <c:pt idx="12">
                  <c:v>3.8403333333333336</c:v>
                </c:pt>
                <c:pt idx="13">
                  <c:v>3.9563333333333333</c:v>
                </c:pt>
                <c:pt idx="14">
                  <c:v>4.0866666666666669</c:v>
                </c:pt>
                <c:pt idx="15">
                  <c:v>4.2136666666666667</c:v>
                </c:pt>
                <c:pt idx="16">
                  <c:v>4.3499999999999996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B7-4258-9B10-2C5FFC45F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0048832"/>
        <c:axId val="463139424"/>
      </c:scatterChart>
      <c:valAx>
        <c:axId val="93004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3139424"/>
        <c:crosses val="autoZero"/>
        <c:crossBetween val="midCat"/>
      </c:valAx>
      <c:valAx>
        <c:axId val="46313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0048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Лист2!$C$18:$C$34</c:f>
              <c:numCache>
                <c:formatCode>General</c:formatCode>
                <c:ptCount val="17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</c:numCache>
            </c:numRef>
          </c:xVal>
          <c:yVal>
            <c:numRef>
              <c:f>Лист2!$D$18:$D$34</c:f>
              <c:numCache>
                <c:formatCode>General</c:formatCode>
                <c:ptCount val="17"/>
                <c:pt idx="0">
                  <c:v>1.7531875731554416</c:v>
                </c:pt>
                <c:pt idx="1">
                  <c:v>1.7560372053765452</c:v>
                </c:pt>
                <c:pt idx="2">
                  <c:v>1.7599242407937148</c:v>
                </c:pt>
                <c:pt idx="3">
                  <c:v>1.7673897891146331</c:v>
                </c:pt>
                <c:pt idx="4">
                  <c:v>1.7805429883418522</c:v>
                </c:pt>
                <c:pt idx="5">
                  <c:v>1.7955500549970751</c:v>
                </c:pt>
                <c:pt idx="6">
                  <c:v>1.8112610708196284</c:v>
                </c:pt>
                <c:pt idx="7">
                  <c:v>1.8282961102257662</c:v>
                </c:pt>
                <c:pt idx="8">
                  <c:v>1.854004674571597</c:v>
                </c:pt>
                <c:pt idx="9">
                  <c:v>1.8756332264064848</c:v>
                </c:pt>
                <c:pt idx="10">
                  <c:v>1.9045559412454476</c:v>
                </c:pt>
                <c:pt idx="11">
                  <c:v>1.932873508535931</c:v>
                </c:pt>
                <c:pt idx="12">
                  <c:v>1.9596768441080621</c:v>
                </c:pt>
                <c:pt idx="13">
                  <c:v>1.9890533761901246</c:v>
                </c:pt>
                <c:pt idx="14">
                  <c:v>2.0215505600075074</c:v>
                </c:pt>
                <c:pt idx="15">
                  <c:v>2.052721770398187</c:v>
                </c:pt>
                <c:pt idx="16">
                  <c:v>2.0856653614614209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A1-409B-969E-6CE352FFA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610160"/>
        <c:axId val="939183888"/>
      </c:scatterChart>
      <c:valAx>
        <c:axId val="941610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9183888"/>
        <c:crosses val="autoZero"/>
        <c:crossBetween val="midCat"/>
      </c:valAx>
      <c:valAx>
        <c:axId val="93918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1610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10</xdr:row>
      <xdr:rowOff>147637</xdr:rowOff>
    </xdr:from>
    <xdr:to>
      <xdr:col>18</xdr:col>
      <xdr:colOff>228600</xdr:colOff>
      <xdr:row>25</xdr:row>
      <xdr:rowOff>33337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1396141-6642-4721-A3C8-0964150B7A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600075</xdr:colOff>
      <xdr:row>25</xdr:row>
      <xdr:rowOff>166687</xdr:rowOff>
    </xdr:from>
    <xdr:to>
      <xdr:col>18</xdr:col>
      <xdr:colOff>295275</xdr:colOff>
      <xdr:row>40</xdr:row>
      <xdr:rowOff>52387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1DEB672-CF03-4F92-B0F5-51B1F59CF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342900</xdr:colOff>
      <xdr:row>1</xdr:row>
      <xdr:rowOff>128587</xdr:rowOff>
    </xdr:from>
    <xdr:to>
      <xdr:col>11</xdr:col>
      <xdr:colOff>38100</xdr:colOff>
      <xdr:row>16</xdr:row>
      <xdr:rowOff>14287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B1D20F9-420B-4F04-95B4-9D76AB525C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Z70"/>
  <sheetViews>
    <sheetView topLeftCell="A40" zoomScaleNormal="100" workbookViewId="0">
      <selection activeCell="D58" sqref="D58"/>
    </sheetView>
  </sheetViews>
  <sheetFormatPr defaultRowHeight="15" x14ac:dyDescent="0.25"/>
  <cols>
    <col min="12" max="12" width="11" bestFit="1" customWidth="1"/>
  </cols>
  <sheetData>
    <row r="5" spans="1:26" ht="15.75" thickBot="1" x14ac:dyDescent="0.3">
      <c r="W5" t="s">
        <v>15</v>
      </c>
      <c r="X5" s="4"/>
      <c r="Y5" t="s">
        <v>33</v>
      </c>
    </row>
    <row r="6" spans="1:26" ht="15.75" thickBot="1" x14ac:dyDescent="0.3">
      <c r="A6" t="s">
        <v>0</v>
      </c>
      <c r="D6" t="s">
        <v>1</v>
      </c>
      <c r="G6" t="s">
        <v>2</v>
      </c>
      <c r="K6" t="s">
        <v>3</v>
      </c>
      <c r="O6" t="s">
        <v>6</v>
      </c>
      <c r="Q6" t="s">
        <v>15</v>
      </c>
      <c r="R6" t="s">
        <v>8</v>
      </c>
      <c r="S6">
        <v>0.77170000000000005</v>
      </c>
      <c r="T6">
        <f>S6+$U$6</f>
        <v>1.7549000000000001</v>
      </c>
      <c r="U6">
        <v>0.98319999999999996</v>
      </c>
      <c r="V6">
        <v>0.5</v>
      </c>
      <c r="W6" s="1">
        <f>$K$7*T6*R7*R7</f>
        <v>1.3544756884618479E-2</v>
      </c>
      <c r="X6">
        <f>W6*Q19</f>
        <v>6.020878548937959E-4</v>
      </c>
      <c r="Y6">
        <f>W6-$Q$8</f>
        <v>5.1456685986302746E-3</v>
      </c>
      <c r="Z6">
        <f>X6+$Q$9</f>
        <v>9.7684150178692559E-4</v>
      </c>
    </row>
    <row r="7" spans="1:26" ht="15.75" thickBot="1" x14ac:dyDescent="0.3">
      <c r="A7">
        <v>125</v>
      </c>
      <c r="B7">
        <v>0.1</v>
      </c>
      <c r="C7">
        <f>B7/A7</f>
        <v>8.0000000000000004E-4</v>
      </c>
      <c r="D7">
        <v>30.5</v>
      </c>
      <c r="E7">
        <v>0.3</v>
      </c>
      <c r="F7">
        <f>E7/D7</f>
        <v>9.8360655737704909E-3</v>
      </c>
      <c r="G7">
        <v>2136.3000000000002</v>
      </c>
      <c r="H7">
        <v>0.3</v>
      </c>
      <c r="I7">
        <f>H7/G7</f>
        <v>1.4042971492767868E-4</v>
      </c>
      <c r="K7">
        <f>A13*A9*D9/G9/4/B13/B13</f>
        <v>4.4301042969295589E-4</v>
      </c>
      <c r="L7">
        <f>M7*K7</f>
        <v>4.7740998084302909E-6</v>
      </c>
      <c r="M7">
        <f>I7+C7+F7</f>
        <v>1.077649528869817E-2</v>
      </c>
      <c r="O7" t="s">
        <v>7</v>
      </c>
      <c r="R7">
        <v>4.1740000000000004</v>
      </c>
      <c r="S7">
        <f>R7/30</f>
        <v>0.13913333333333336</v>
      </c>
      <c r="T7">
        <f>0.6/1000</f>
        <v>5.9999999999999995E-4</v>
      </c>
      <c r="W7">
        <v>6.020878548937959E-4</v>
      </c>
      <c r="Y7">
        <f>Z6/Y6</f>
        <v>0.18983762421990236</v>
      </c>
    </row>
    <row r="8" spans="1:26" ht="15.75" thickBot="1" x14ac:dyDescent="0.3">
      <c r="O8">
        <v>4.3912500000000003</v>
      </c>
      <c r="P8">
        <f>O8/40</f>
        <v>0.10978125000000001</v>
      </c>
      <c r="Q8" s="1">
        <f>K7*U6*O8*O8</f>
        <v>8.3990882859882043E-3</v>
      </c>
    </row>
    <row r="9" spans="1:26" ht="15.75" thickBot="1" x14ac:dyDescent="0.3">
      <c r="A9">
        <f>A7/1000</f>
        <v>0.125</v>
      </c>
      <c r="D9">
        <f t="shared" ref="D9:G9" si="0">D7/1000</f>
        <v>3.0499999999999999E-2</v>
      </c>
      <c r="G9">
        <f t="shared" si="0"/>
        <v>2.1363000000000003</v>
      </c>
      <c r="K9">
        <f>K7*10000</f>
        <v>4.4301042969295592</v>
      </c>
      <c r="L9">
        <f>L7*10000</f>
        <v>4.7740998084302912E-2</v>
      </c>
      <c r="P9" s="4" t="s">
        <v>32</v>
      </c>
      <c r="Q9">
        <f>Q8*Q18</f>
        <v>3.7475364689312969E-4</v>
      </c>
      <c r="R9" t="s">
        <v>9</v>
      </c>
      <c r="S9">
        <v>0.88119999999999998</v>
      </c>
      <c r="T9">
        <f t="shared" ref="T7:T15" si="1">S9+$U$6</f>
        <v>1.8643999999999998</v>
      </c>
      <c r="W9" s="1">
        <f t="shared" ref="W7:W17" si="2">$K$7*T9*R10*R10</f>
        <v>1.1493189452086902E-2</v>
      </c>
      <c r="X9">
        <f>W9*Q20</f>
        <v>5.1066134783478597E-4</v>
      </c>
      <c r="Y9">
        <f t="shared" ref="Y7:Y15" si="3">W9-$Q$8</f>
        <v>3.0941011660986974E-3</v>
      </c>
      <c r="Z9">
        <f t="shared" ref="Z7:Z15" si="4">X9+$Q$9</f>
        <v>8.8541499472791566E-4</v>
      </c>
    </row>
    <row r="10" spans="1:26" x14ac:dyDescent="0.25">
      <c r="R10">
        <v>3.7303000000000002</v>
      </c>
      <c r="S10">
        <f>R10/30</f>
        <v>0.12434333333333333</v>
      </c>
      <c r="T10">
        <f>0.6/1000</f>
        <v>5.9999999999999995E-4</v>
      </c>
      <c r="Y10">
        <f>Z9/Y9</f>
        <v>0.28616226399743783</v>
      </c>
    </row>
    <row r="11" spans="1:26" ht="15.75" thickBot="1" x14ac:dyDescent="0.3">
      <c r="W11">
        <f>W9+W6-Q8</f>
        <v>1.6638858050717176E-2</v>
      </c>
      <c r="Y11">
        <f>Y9+Y6</f>
        <v>8.2397697647289721E-3</v>
      </c>
    </row>
    <row r="12" spans="1:26" ht="15.75" thickBot="1" x14ac:dyDescent="0.3">
      <c r="A12" t="s">
        <v>4</v>
      </c>
      <c r="B12" t="s">
        <v>5</v>
      </c>
      <c r="R12" t="s">
        <v>10</v>
      </c>
      <c r="S12">
        <f>S9+S6</f>
        <v>1.6529</v>
      </c>
      <c r="T12">
        <f t="shared" si="1"/>
        <v>2.6360999999999999</v>
      </c>
      <c r="W12" s="1">
        <f t="shared" si="2"/>
        <v>1.6521587695524202E-2</v>
      </c>
      <c r="X12">
        <f>W12*Q21</f>
        <v>7.3252486333512216E-4</v>
      </c>
      <c r="Y12" s="5">
        <f t="shared" si="3"/>
        <v>8.1224994095359972E-3</v>
      </c>
      <c r="Z12">
        <f t="shared" si="4"/>
        <v>1.1072785102282517E-3</v>
      </c>
    </row>
    <row r="13" spans="1:26" x14ac:dyDescent="0.25">
      <c r="A13">
        <v>9.8000000000000007</v>
      </c>
      <c r="B13">
        <v>3.1415926536000001</v>
      </c>
      <c r="E13" t="s">
        <v>17</v>
      </c>
      <c r="F13" t="s">
        <v>18</v>
      </c>
      <c r="G13" t="s">
        <v>19</v>
      </c>
      <c r="H13" t="s">
        <v>7</v>
      </c>
      <c r="I13" t="s">
        <v>20</v>
      </c>
      <c r="J13" t="s">
        <v>21</v>
      </c>
      <c r="K13" t="s">
        <v>15</v>
      </c>
      <c r="L13" t="s">
        <v>31</v>
      </c>
      <c r="R13">
        <v>3.7612999999999999</v>
      </c>
      <c r="S13">
        <f>R13/30</f>
        <v>0.12537666666666666</v>
      </c>
      <c r="T13">
        <f>0.6/1000</f>
        <v>5.9999999999999995E-4</v>
      </c>
      <c r="Y13">
        <f>Z12/Y12</f>
        <v>0.13632238728491403</v>
      </c>
    </row>
    <row r="14" spans="1:26" ht="15.75" thickBot="1" x14ac:dyDescent="0.3">
      <c r="D14">
        <v>0</v>
      </c>
      <c r="E14">
        <v>1</v>
      </c>
      <c r="F14">
        <v>32.21</v>
      </c>
      <c r="G14">
        <f>60*E14+F14</f>
        <v>92.210000000000008</v>
      </c>
      <c r="H14">
        <f>G14/30</f>
        <v>3.073666666666667</v>
      </c>
      <c r="I14">
        <f>H14*H14</f>
        <v>9.4474267777777801</v>
      </c>
      <c r="J14">
        <f>D14*D14</f>
        <v>0</v>
      </c>
      <c r="K14">
        <f>I14*$W$21*$K$7</f>
        <v>1.0149373346066474E-2</v>
      </c>
      <c r="L14">
        <f>K14*Q26</f>
        <v>4.5061683493342788E-4</v>
      </c>
    </row>
    <row r="15" spans="1:26" ht="15.75" thickBot="1" x14ac:dyDescent="0.3">
      <c r="D15">
        <v>0.5</v>
      </c>
      <c r="E15">
        <v>1</v>
      </c>
      <c r="F15">
        <v>32.51</v>
      </c>
      <c r="G15">
        <f t="shared" ref="G15:G30" si="5">60*E15+F15</f>
        <v>92.509999999999991</v>
      </c>
      <c r="H15">
        <f t="shared" ref="H15:H30" si="6">G15/30</f>
        <v>3.0836666666666663</v>
      </c>
      <c r="I15">
        <f t="shared" ref="I15:I30" si="7">H15*H15</f>
        <v>9.5090001111111082</v>
      </c>
      <c r="J15">
        <f t="shared" ref="J15:J30" si="8">D15*D15</f>
        <v>0.25</v>
      </c>
      <c r="K15">
        <f t="shared" ref="K15:K30" si="9">I15*$W$21*$K$7</f>
        <v>1.0215521596046216E-2</v>
      </c>
      <c r="L15">
        <f t="shared" ref="L15:L30" si="10">K15*Q27</f>
        <v>4.5355371724388195E-4</v>
      </c>
      <c r="R15" t="s">
        <v>11</v>
      </c>
      <c r="S15">
        <f>1.0392</f>
        <v>1.0391999999999999</v>
      </c>
      <c r="T15">
        <f t="shared" si="1"/>
        <v>2.0223999999999998</v>
      </c>
      <c r="W15" s="1">
        <f t="shared" si="2"/>
        <v>1.1337622490249692E-2</v>
      </c>
      <c r="X15">
        <f>W15*Q22</f>
        <v>5.0346419929348527E-4</v>
      </c>
      <c r="Y15">
        <f t="shared" si="3"/>
        <v>2.9385342042614875E-3</v>
      </c>
      <c r="Z15">
        <f t="shared" si="4"/>
        <v>8.7821784618661496E-4</v>
      </c>
    </row>
    <row r="16" spans="1:26" x14ac:dyDescent="0.25">
      <c r="D16">
        <v>1</v>
      </c>
      <c r="E16">
        <v>1</v>
      </c>
      <c r="F16">
        <v>32.92</v>
      </c>
      <c r="G16">
        <f t="shared" si="5"/>
        <v>92.92</v>
      </c>
      <c r="H16">
        <f t="shared" si="6"/>
        <v>3.0973333333333333</v>
      </c>
      <c r="I16">
        <f t="shared" si="7"/>
        <v>9.5934737777777777</v>
      </c>
      <c r="J16">
        <f t="shared" si="8"/>
        <v>1</v>
      </c>
      <c r="K16">
        <f t="shared" si="9"/>
        <v>1.0306271680812986E-2</v>
      </c>
      <c r="L16">
        <f t="shared" si="10"/>
        <v>4.5758288383113648E-4</v>
      </c>
      <c r="R16">
        <v>3.5573000000000001</v>
      </c>
      <c r="S16">
        <f>R16/30</f>
        <v>0.11857666666666668</v>
      </c>
      <c r="T16">
        <f>0.6/1000</f>
        <v>5.9999999999999995E-4</v>
      </c>
      <c r="Y16">
        <f>Z15/Y15</f>
        <v>0.29886255702350373</v>
      </c>
    </row>
    <row r="17" spans="4:24" x14ac:dyDescent="0.25">
      <c r="D17">
        <v>1.5</v>
      </c>
      <c r="E17">
        <v>1</v>
      </c>
      <c r="F17">
        <v>33.71</v>
      </c>
      <c r="G17">
        <f t="shared" si="5"/>
        <v>93.710000000000008</v>
      </c>
      <c r="H17">
        <f t="shared" si="6"/>
        <v>3.1236666666666668</v>
      </c>
      <c r="I17">
        <f t="shared" si="7"/>
        <v>9.7572934444444446</v>
      </c>
      <c r="J17">
        <f t="shared" si="8"/>
        <v>2.25</v>
      </c>
      <c r="K17">
        <f t="shared" si="9"/>
        <v>1.0482263196549216E-2</v>
      </c>
      <c r="L17">
        <f t="shared" si="10"/>
        <v>4.6539664110383861E-4</v>
      </c>
      <c r="N17" t="s">
        <v>23</v>
      </c>
      <c r="O17" t="s">
        <v>24</v>
      </c>
      <c r="P17" t="s">
        <v>25</v>
      </c>
      <c r="Q17" t="s">
        <v>22</v>
      </c>
    </row>
    <row r="18" spans="4:24" x14ac:dyDescent="0.25">
      <c r="D18">
        <v>2</v>
      </c>
      <c r="E18">
        <v>1</v>
      </c>
      <c r="F18">
        <v>35.11</v>
      </c>
      <c r="G18">
        <f t="shared" si="5"/>
        <v>95.11</v>
      </c>
      <c r="H18">
        <f t="shared" si="6"/>
        <v>3.1703333333333332</v>
      </c>
      <c r="I18">
        <f t="shared" si="7"/>
        <v>10.051013444444443</v>
      </c>
      <c r="J18">
        <f t="shared" si="8"/>
        <v>4</v>
      </c>
      <c r="K18">
        <f t="shared" si="9"/>
        <v>1.0797806678317047E-2</v>
      </c>
      <c r="L18">
        <f t="shared" si="10"/>
        <v>4.7940629472380334E-4</v>
      </c>
      <c r="M18" t="s">
        <v>6</v>
      </c>
      <c r="N18">
        <v>1.077649528869817E-2</v>
      </c>
      <c r="O18">
        <f>V6/U6/1000</f>
        <v>5.0854353132628145E-4</v>
      </c>
      <c r="P18" s="3">
        <f>1/30</f>
        <v>3.3333333333333333E-2</v>
      </c>
      <c r="Q18" s="3">
        <f>P18+O18+N18</f>
        <v>4.4618372153357788E-2</v>
      </c>
      <c r="R18" t="s">
        <v>12</v>
      </c>
      <c r="S18">
        <v>0.72070000000000001</v>
      </c>
      <c r="T18" t="s">
        <v>13</v>
      </c>
      <c r="U18">
        <v>0.72109999999999996</v>
      </c>
      <c r="V18" t="s">
        <v>14</v>
      </c>
      <c r="W18">
        <f>U18+S18</f>
        <v>1.4418</v>
      </c>
    </row>
    <row r="19" spans="4:24" x14ac:dyDescent="0.25">
      <c r="D19">
        <v>2.5</v>
      </c>
      <c r="E19">
        <v>1</v>
      </c>
      <c r="F19">
        <v>36.72</v>
      </c>
      <c r="G19">
        <f t="shared" si="5"/>
        <v>96.72</v>
      </c>
      <c r="H19">
        <f t="shared" si="6"/>
        <v>3.2239999999999998</v>
      </c>
      <c r="I19">
        <f t="shared" si="7"/>
        <v>10.394175999999998</v>
      </c>
      <c r="J19">
        <f t="shared" si="8"/>
        <v>6.25</v>
      </c>
      <c r="K19">
        <f t="shared" si="9"/>
        <v>1.1166466311955706E-2</v>
      </c>
      <c r="L19">
        <f t="shared" si="10"/>
        <v>4.9577422519729933E-4</v>
      </c>
      <c r="M19" t="s">
        <v>8</v>
      </c>
      <c r="N19">
        <v>1.077649528869817E-2</v>
      </c>
      <c r="O19">
        <f>T7/T6</f>
        <v>3.4189982335175787E-4</v>
      </c>
      <c r="P19" s="3">
        <f t="shared" ref="P19:P42" si="11">1/30</f>
        <v>3.3333333333333333E-2</v>
      </c>
      <c r="Q19" s="3">
        <f t="shared" ref="Q19:Q42" si="12">P19+O19+N19</f>
        <v>4.4451728445383254E-2</v>
      </c>
      <c r="R19">
        <v>3.4403000000000001</v>
      </c>
      <c r="S19">
        <f>R19/30</f>
        <v>0.11467666666666668</v>
      </c>
      <c r="T19">
        <v>3.4416000000000002</v>
      </c>
      <c r="U19">
        <f>T19/30</f>
        <v>0.11472</v>
      </c>
      <c r="V19">
        <v>3.0129999999999999</v>
      </c>
      <c r="W19">
        <f>V19/30</f>
        <v>0.10043333333333333</v>
      </c>
    </row>
    <row r="20" spans="4:24" x14ac:dyDescent="0.25">
      <c r="D20">
        <v>3</v>
      </c>
      <c r="E20">
        <v>1</v>
      </c>
      <c r="F20">
        <v>38.42</v>
      </c>
      <c r="G20">
        <f t="shared" si="5"/>
        <v>98.42</v>
      </c>
      <c r="H20">
        <f t="shared" si="6"/>
        <v>3.2806666666666668</v>
      </c>
      <c r="I20">
        <f t="shared" si="7"/>
        <v>10.762773777777779</v>
      </c>
      <c r="J20">
        <f t="shared" si="8"/>
        <v>9</v>
      </c>
      <c r="K20">
        <f t="shared" si="9"/>
        <v>1.1562451012254924E-2</v>
      </c>
      <c r="L20">
        <f t="shared" si="10"/>
        <v>5.1335534732638646E-4</v>
      </c>
      <c r="M20" t="s">
        <v>9</v>
      </c>
      <c r="N20">
        <v>1.077649528869817E-2</v>
      </c>
      <c r="O20">
        <f>T10/T9</f>
        <v>3.2181935207037116E-4</v>
      </c>
      <c r="P20" s="3">
        <f t="shared" si="11"/>
        <v>3.3333333333333333E-2</v>
      </c>
      <c r="Q20" s="3">
        <f t="shared" si="12"/>
        <v>4.4431647974101873E-2</v>
      </c>
    </row>
    <row r="21" spans="4:24" ht="15.75" thickBot="1" x14ac:dyDescent="0.3">
      <c r="D21">
        <v>3.5</v>
      </c>
      <c r="E21">
        <v>1</v>
      </c>
      <c r="F21">
        <v>40.28</v>
      </c>
      <c r="G21">
        <f t="shared" si="5"/>
        <v>100.28</v>
      </c>
      <c r="H21">
        <f t="shared" si="6"/>
        <v>3.3426666666666667</v>
      </c>
      <c r="I21">
        <f t="shared" si="7"/>
        <v>11.173420444444444</v>
      </c>
      <c r="J21">
        <f t="shared" si="8"/>
        <v>12.25</v>
      </c>
      <c r="K21">
        <f t="shared" si="9"/>
        <v>1.2003608846165973E-2</v>
      </c>
      <c r="L21">
        <f t="shared" si="10"/>
        <v>5.3294208830484587E-4</v>
      </c>
      <c r="M21" t="s">
        <v>26</v>
      </c>
      <c r="N21">
        <v>1.077649528869817E-2</v>
      </c>
      <c r="O21">
        <f>T13/T12</f>
        <v>2.2760896779333104E-4</v>
      </c>
      <c r="P21" s="3">
        <f t="shared" si="11"/>
        <v>3.3333333333333333E-2</v>
      </c>
      <c r="Q21" s="3">
        <f t="shared" si="12"/>
        <v>4.4337437589824835E-2</v>
      </c>
      <c r="R21" t="s">
        <v>16</v>
      </c>
      <c r="S21">
        <f>S18+U6</f>
        <v>1.7039</v>
      </c>
      <c r="T21">
        <f>0.6/1000</f>
        <v>5.9999999999999995E-4</v>
      </c>
      <c r="U21">
        <f>U18+U6</f>
        <v>1.7042999999999999</v>
      </c>
      <c r="V21">
        <f>0.6/1000</f>
        <v>5.9999999999999995E-4</v>
      </c>
      <c r="W21">
        <f>W18+U6</f>
        <v>2.4249999999999998</v>
      </c>
      <c r="X21">
        <f>0.7/1000</f>
        <v>6.9999999999999999E-4</v>
      </c>
    </row>
    <row r="22" spans="4:24" ht="15.75" thickBot="1" x14ac:dyDescent="0.3">
      <c r="D22">
        <v>4</v>
      </c>
      <c r="E22">
        <v>1</v>
      </c>
      <c r="F22">
        <v>43.12</v>
      </c>
      <c r="G22">
        <f t="shared" si="5"/>
        <v>103.12</v>
      </c>
      <c r="H22">
        <f t="shared" si="6"/>
        <v>3.4373333333333336</v>
      </c>
      <c r="I22">
        <f t="shared" si="7"/>
        <v>11.815260444444446</v>
      </c>
      <c r="J22">
        <f t="shared" si="8"/>
        <v>16</v>
      </c>
      <c r="K22">
        <f t="shared" si="9"/>
        <v>1.2693137745586733E-2</v>
      </c>
      <c r="L22">
        <f t="shared" si="10"/>
        <v>5.635561291581694E-4</v>
      </c>
      <c r="M22" t="s">
        <v>11</v>
      </c>
      <c r="N22">
        <v>1.077649528869817E-2</v>
      </c>
      <c r="O22">
        <f>T16/T15</f>
        <v>2.9667721518987343E-4</v>
      </c>
      <c r="P22" s="3">
        <f t="shared" si="11"/>
        <v>3.3333333333333333E-2</v>
      </c>
      <c r="Q22" s="3">
        <f t="shared" si="12"/>
        <v>4.4406505837221374E-2</v>
      </c>
      <c r="R22" t="s">
        <v>15</v>
      </c>
      <c r="S22" s="1">
        <f>K7*R19*R19*S21</f>
        <v>8.9340974364344877E-3</v>
      </c>
      <c r="T22">
        <f>S22*Q23</f>
        <v>3.9722750039418366E-4</v>
      </c>
      <c r="U22" s="1">
        <f>U21*K7*T19*T19</f>
        <v>8.9429495532022934E-3</v>
      </c>
      <c r="V22">
        <f>U22*Q24</f>
        <v>3.9762034377546518E-4</v>
      </c>
      <c r="W22" s="1">
        <f>W21*K7*V19*V19</f>
        <v>9.7526796075745326E-3</v>
      </c>
      <c r="X22">
        <f>W22*Q25</f>
        <v>4.3300423258035484E-4</v>
      </c>
    </row>
    <row r="23" spans="4:24" x14ac:dyDescent="0.25">
      <c r="D23">
        <v>4.5</v>
      </c>
      <c r="E23">
        <v>1</v>
      </c>
      <c r="F23">
        <v>45.54</v>
      </c>
      <c r="G23">
        <f t="shared" si="5"/>
        <v>105.53999999999999</v>
      </c>
      <c r="H23">
        <f t="shared" si="6"/>
        <v>3.5179999999999998</v>
      </c>
      <c r="I23">
        <f t="shared" si="7"/>
        <v>12.376323999999999</v>
      </c>
      <c r="J23">
        <f t="shared" si="8"/>
        <v>20.25</v>
      </c>
      <c r="K23">
        <f t="shared" si="9"/>
        <v>1.3295888487153662E-2</v>
      </c>
      <c r="L23">
        <f t="shared" si="10"/>
        <v>5.9031735097527123E-4</v>
      </c>
      <c r="M23" t="s">
        <v>27</v>
      </c>
      <c r="N23">
        <v>1.077649528869817E-2</v>
      </c>
      <c r="O23">
        <f>T21/S21</f>
        <v>3.5213334115851867E-4</v>
      </c>
      <c r="P23" s="3">
        <f t="shared" si="11"/>
        <v>3.3333333333333333E-2</v>
      </c>
      <c r="Q23" s="3">
        <f t="shared" si="12"/>
        <v>4.4461961963190022E-2</v>
      </c>
      <c r="S23">
        <f>S22-Q8</f>
        <v>5.3500915044628339E-4</v>
      </c>
      <c r="T23">
        <f>T22+Q9</f>
        <v>7.7198114728731335E-4</v>
      </c>
      <c r="U23">
        <f>U22-Q8</f>
        <v>5.4386126721408905E-4</v>
      </c>
      <c r="V23">
        <f>V22+Q9</f>
        <v>7.7237399066859493E-4</v>
      </c>
      <c r="W23">
        <f>W22-Q8</f>
        <v>1.3535913215863282E-3</v>
      </c>
      <c r="X23">
        <f>Q9+X22</f>
        <v>8.0775787947348458E-4</v>
      </c>
    </row>
    <row r="24" spans="4:24" x14ac:dyDescent="0.25">
      <c r="D24">
        <v>5</v>
      </c>
      <c r="E24">
        <v>1</v>
      </c>
      <c r="F24">
        <v>48.82</v>
      </c>
      <c r="G24">
        <f t="shared" si="5"/>
        <v>108.82</v>
      </c>
      <c r="H24">
        <f t="shared" si="6"/>
        <v>3.6273333333333331</v>
      </c>
      <c r="I24">
        <f t="shared" si="7"/>
        <v>13.157547111111109</v>
      </c>
      <c r="J24">
        <f t="shared" si="8"/>
        <v>25</v>
      </c>
      <c r="K24">
        <f t="shared" si="9"/>
        <v>1.4135156703541709E-2</v>
      </c>
      <c r="L24">
        <f t="shared" si="10"/>
        <v>6.2757959115836365E-4</v>
      </c>
      <c r="M24" t="s">
        <v>28</v>
      </c>
      <c r="N24">
        <v>1.077649528869817E-2</v>
      </c>
      <c r="O24">
        <f>V21/U21</f>
        <v>3.5205069530012321E-4</v>
      </c>
      <c r="P24" s="3">
        <f t="shared" si="11"/>
        <v>3.3333333333333333E-2</v>
      </c>
      <c r="Q24" s="3">
        <f t="shared" si="12"/>
        <v>4.4461879317331629E-2</v>
      </c>
    </row>
    <row r="25" spans="4:24" x14ac:dyDescent="0.25">
      <c r="D25">
        <v>5.5</v>
      </c>
      <c r="E25">
        <v>1</v>
      </c>
      <c r="F25">
        <v>52.08</v>
      </c>
      <c r="G25">
        <f t="shared" si="5"/>
        <v>112.08</v>
      </c>
      <c r="H25">
        <f t="shared" si="6"/>
        <v>3.7359999999999998</v>
      </c>
      <c r="I25">
        <f t="shared" si="7"/>
        <v>13.957695999999999</v>
      </c>
      <c r="J25">
        <f t="shared" si="8"/>
        <v>30.25</v>
      </c>
      <c r="K25">
        <f t="shared" si="9"/>
        <v>1.4994756888522852E-2</v>
      </c>
      <c r="L25">
        <f t="shared" si="10"/>
        <v>6.6574454001350799E-4</v>
      </c>
      <c r="M25" t="s">
        <v>29</v>
      </c>
      <c r="N25">
        <v>1.077649528869817E-2</v>
      </c>
      <c r="O25">
        <f>$X$21/$W$21</f>
        <v>2.88659793814433E-4</v>
      </c>
      <c r="P25" s="3">
        <f t="shared" si="11"/>
        <v>3.3333333333333333E-2</v>
      </c>
      <c r="Q25" s="3">
        <f t="shared" si="12"/>
        <v>4.4398488415845941E-2</v>
      </c>
    </row>
    <row r="26" spans="4:24" x14ac:dyDescent="0.25">
      <c r="D26">
        <v>6</v>
      </c>
      <c r="E26">
        <v>1</v>
      </c>
      <c r="F26">
        <v>55.21</v>
      </c>
      <c r="G26">
        <f t="shared" si="5"/>
        <v>115.21000000000001</v>
      </c>
      <c r="H26">
        <f t="shared" si="6"/>
        <v>3.8403333333333336</v>
      </c>
      <c r="I26">
        <f t="shared" si="7"/>
        <v>14.748160111111114</v>
      </c>
      <c r="J26">
        <f t="shared" si="8"/>
        <v>36</v>
      </c>
      <c r="K26">
        <f t="shared" si="9"/>
        <v>1.5843952713909329E-2</v>
      </c>
      <c r="L26">
        <f t="shared" si="10"/>
        <v>7.0344755102971421E-4</v>
      </c>
      <c r="M26">
        <v>0</v>
      </c>
      <c r="N26">
        <v>1.077649528869817E-2</v>
      </c>
      <c r="O26">
        <f t="shared" ref="O26:O42" si="13">$X$21/$W$21</f>
        <v>2.88659793814433E-4</v>
      </c>
      <c r="P26" s="3">
        <f t="shared" si="11"/>
        <v>3.3333333333333333E-2</v>
      </c>
      <c r="Q26" s="3">
        <f t="shared" si="12"/>
        <v>4.4398488415845941E-2</v>
      </c>
    </row>
    <row r="27" spans="4:24" x14ac:dyDescent="0.25">
      <c r="D27">
        <v>6.5</v>
      </c>
      <c r="E27">
        <v>1</v>
      </c>
      <c r="F27">
        <v>58.69</v>
      </c>
      <c r="G27">
        <f t="shared" si="5"/>
        <v>118.69</v>
      </c>
      <c r="H27">
        <f t="shared" si="6"/>
        <v>3.9563333333333333</v>
      </c>
      <c r="I27">
        <f t="shared" si="7"/>
        <v>15.652573444444444</v>
      </c>
      <c r="J27">
        <f t="shared" si="8"/>
        <v>42.25</v>
      </c>
      <c r="K27">
        <f t="shared" si="9"/>
        <v>1.6815564222002918E-2</v>
      </c>
      <c r="L27">
        <f t="shared" si="10"/>
        <v>7.4658563331651004E-4</v>
      </c>
      <c r="M27">
        <v>0.5</v>
      </c>
      <c r="N27">
        <v>1.077649528869817E-2</v>
      </c>
      <c r="O27">
        <f t="shared" si="13"/>
        <v>2.88659793814433E-4</v>
      </c>
      <c r="P27" s="3">
        <f t="shared" si="11"/>
        <v>3.3333333333333333E-2</v>
      </c>
      <c r="Q27" s="3">
        <f t="shared" si="12"/>
        <v>4.4398488415845941E-2</v>
      </c>
      <c r="W27">
        <f>S22+U22-Q8</f>
        <v>9.4779587036485785E-3</v>
      </c>
    </row>
    <row r="28" spans="4:24" x14ac:dyDescent="0.25">
      <c r="D28">
        <v>7</v>
      </c>
      <c r="E28">
        <v>2</v>
      </c>
      <c r="F28">
        <v>2.6</v>
      </c>
      <c r="G28">
        <f t="shared" si="5"/>
        <v>122.6</v>
      </c>
      <c r="H28">
        <f t="shared" si="6"/>
        <v>4.0866666666666669</v>
      </c>
      <c r="I28">
        <f t="shared" si="7"/>
        <v>16.700844444444446</v>
      </c>
      <c r="J28">
        <f t="shared" si="8"/>
        <v>49</v>
      </c>
      <c r="K28">
        <f t="shared" si="9"/>
        <v>1.794172206340373E-2</v>
      </c>
      <c r="L28">
        <f t="shared" si="10"/>
        <v>7.9658533919235806E-4</v>
      </c>
      <c r="M28">
        <v>1</v>
      </c>
      <c r="N28">
        <v>1.077649528869817E-2</v>
      </c>
      <c r="O28">
        <f t="shared" si="13"/>
        <v>2.88659793814433E-4</v>
      </c>
      <c r="P28" s="3">
        <f t="shared" si="11"/>
        <v>3.3333333333333333E-2</v>
      </c>
      <c r="Q28" s="3">
        <f t="shared" si="12"/>
        <v>4.4398488415845941E-2</v>
      </c>
    </row>
    <row r="29" spans="4:24" x14ac:dyDescent="0.25">
      <c r="D29">
        <v>7.5</v>
      </c>
      <c r="E29">
        <v>2</v>
      </c>
      <c r="F29">
        <v>6.41</v>
      </c>
      <c r="G29">
        <f t="shared" si="5"/>
        <v>126.41</v>
      </c>
      <c r="H29">
        <f t="shared" si="6"/>
        <v>4.2136666666666667</v>
      </c>
      <c r="I29">
        <f t="shared" si="7"/>
        <v>17.754986777777777</v>
      </c>
      <c r="J29">
        <f t="shared" si="8"/>
        <v>56.25</v>
      </c>
      <c r="K29">
        <f t="shared" si="9"/>
        <v>1.9074187479919E-2</v>
      </c>
      <c r="L29">
        <f t="shared" si="10"/>
        <v>8.4686509186885739E-4</v>
      </c>
      <c r="M29">
        <v>1.5</v>
      </c>
      <c r="N29">
        <v>1.077649528869817E-2</v>
      </c>
      <c r="O29">
        <f t="shared" si="13"/>
        <v>2.88659793814433E-4</v>
      </c>
      <c r="P29" s="3">
        <f t="shared" si="11"/>
        <v>3.3333333333333333E-2</v>
      </c>
      <c r="Q29" s="3">
        <f t="shared" si="12"/>
        <v>4.4398488415845941E-2</v>
      </c>
    </row>
    <row r="30" spans="4:24" x14ac:dyDescent="0.25">
      <c r="D30">
        <v>8</v>
      </c>
      <c r="E30">
        <v>2</v>
      </c>
      <c r="F30">
        <v>10.5</v>
      </c>
      <c r="G30">
        <f t="shared" si="5"/>
        <v>130.5</v>
      </c>
      <c r="H30">
        <f t="shared" si="6"/>
        <v>4.3499999999999996</v>
      </c>
      <c r="I30">
        <f t="shared" si="7"/>
        <v>18.922499999999996</v>
      </c>
      <c r="J30">
        <f t="shared" si="8"/>
        <v>64</v>
      </c>
      <c r="K30">
        <f t="shared" si="9"/>
        <v>2.0328447275472516E-2</v>
      </c>
      <c r="L30">
        <f t="shared" si="10"/>
        <v>9.0255233087220142E-4</v>
      </c>
      <c r="M30">
        <v>2</v>
      </c>
      <c r="N30">
        <v>1.077649528869817E-2</v>
      </c>
      <c r="O30">
        <f t="shared" si="13"/>
        <v>2.88659793814433E-4</v>
      </c>
      <c r="P30" s="3">
        <f t="shared" si="11"/>
        <v>3.3333333333333333E-2</v>
      </c>
      <c r="Q30" s="3">
        <f t="shared" si="12"/>
        <v>4.4398488415845941E-2</v>
      </c>
    </row>
    <row r="31" spans="4:24" x14ac:dyDescent="0.25">
      <c r="M31">
        <v>2.5</v>
      </c>
      <c r="N31">
        <v>1.077649528869817E-2</v>
      </c>
      <c r="O31">
        <f t="shared" si="13"/>
        <v>2.88659793814433E-4</v>
      </c>
      <c r="P31" s="3">
        <f t="shared" si="11"/>
        <v>3.3333333333333333E-2</v>
      </c>
      <c r="Q31" s="3">
        <f t="shared" si="12"/>
        <v>4.4398488415845941E-2</v>
      </c>
    </row>
    <row r="32" spans="4:24" x14ac:dyDescent="0.25">
      <c r="J32">
        <v>0</v>
      </c>
      <c r="K32">
        <f>K14*1000</f>
        <v>10.149373346066474</v>
      </c>
      <c r="L32">
        <f>L14*1000</f>
        <v>0.45061683493342786</v>
      </c>
      <c r="M32">
        <v>3</v>
      </c>
      <c r="N32">
        <v>1.077649528869817E-2</v>
      </c>
      <c r="O32">
        <f t="shared" si="13"/>
        <v>2.88659793814433E-4</v>
      </c>
      <c r="P32" s="3">
        <f t="shared" si="11"/>
        <v>3.3333333333333333E-2</v>
      </c>
      <c r="Q32" s="3">
        <f t="shared" si="12"/>
        <v>4.4398488415845941E-2</v>
      </c>
    </row>
    <row r="33" spans="7:17" x14ac:dyDescent="0.25">
      <c r="G33">
        <v>1.0149373346066474E-2</v>
      </c>
      <c r="H33">
        <f>G33-$Q$8</f>
        <v>1.7502850600782695E-3</v>
      </c>
      <c r="J33">
        <v>0.5</v>
      </c>
      <c r="K33">
        <f t="shared" ref="K33:L33" si="14">K15*1000</f>
        <v>10.215521596046216</v>
      </c>
      <c r="L33">
        <f t="shared" si="14"/>
        <v>0.45355371724388194</v>
      </c>
      <c r="M33">
        <v>3.5</v>
      </c>
      <c r="N33">
        <v>1.077649528869817E-2</v>
      </c>
      <c r="O33">
        <f t="shared" si="13"/>
        <v>2.88659793814433E-4</v>
      </c>
      <c r="P33" s="3">
        <f t="shared" si="11"/>
        <v>3.3333333333333333E-2</v>
      </c>
      <c r="Q33" s="3">
        <f t="shared" si="12"/>
        <v>4.4398488415845941E-2</v>
      </c>
    </row>
    <row r="34" spans="7:17" x14ac:dyDescent="0.25">
      <c r="G34">
        <v>1.0215521596046216E-2</v>
      </c>
      <c r="H34">
        <f t="shared" ref="H34:H49" si="15">G34-$Q$8</f>
        <v>1.8164333100580115E-3</v>
      </c>
      <c r="J34">
        <v>1</v>
      </c>
      <c r="K34">
        <f t="shared" ref="K34:L34" si="16">K16*1000</f>
        <v>10.306271680812987</v>
      </c>
      <c r="L34">
        <f t="shared" si="16"/>
        <v>0.45758288383113649</v>
      </c>
      <c r="M34">
        <v>4</v>
      </c>
      <c r="N34">
        <v>1.077649528869817E-2</v>
      </c>
      <c r="O34">
        <f t="shared" si="13"/>
        <v>2.88659793814433E-4</v>
      </c>
      <c r="P34" s="3">
        <f t="shared" si="11"/>
        <v>3.3333333333333333E-2</v>
      </c>
      <c r="Q34" s="3">
        <f t="shared" si="12"/>
        <v>4.4398488415845941E-2</v>
      </c>
    </row>
    <row r="35" spans="7:17" x14ac:dyDescent="0.25">
      <c r="G35">
        <v>1.0306271680812986E-2</v>
      </c>
      <c r="H35">
        <f t="shared" si="15"/>
        <v>1.907183394824782E-3</v>
      </c>
      <c r="J35">
        <v>1.5</v>
      </c>
      <c r="K35">
        <f t="shared" ref="K35:L35" si="17">K17*1000</f>
        <v>10.482263196549216</v>
      </c>
      <c r="L35">
        <f t="shared" si="17"/>
        <v>0.4653966411038386</v>
      </c>
      <c r="M35">
        <v>4.5</v>
      </c>
      <c r="N35">
        <v>1.077649528869817E-2</v>
      </c>
      <c r="O35">
        <f t="shared" si="13"/>
        <v>2.88659793814433E-4</v>
      </c>
      <c r="P35" s="3">
        <f t="shared" si="11"/>
        <v>3.3333333333333333E-2</v>
      </c>
      <c r="Q35" s="3">
        <f t="shared" si="12"/>
        <v>4.4398488415845941E-2</v>
      </c>
    </row>
    <row r="36" spans="7:17" x14ac:dyDescent="0.25">
      <c r="G36">
        <v>1.0482263196549216E-2</v>
      </c>
      <c r="H36">
        <f t="shared" si="15"/>
        <v>2.0831749105610121E-3</v>
      </c>
      <c r="J36">
        <v>2</v>
      </c>
      <c r="K36">
        <f t="shared" ref="K36:L36" si="18">K18*1000</f>
        <v>10.797806678317047</v>
      </c>
      <c r="L36">
        <f t="shared" si="18"/>
        <v>0.47940629472380336</v>
      </c>
      <c r="M36">
        <v>5</v>
      </c>
      <c r="N36">
        <v>1.077649528869817E-2</v>
      </c>
      <c r="O36">
        <f t="shared" si="13"/>
        <v>2.88659793814433E-4</v>
      </c>
      <c r="P36" s="3">
        <f t="shared" si="11"/>
        <v>3.3333333333333333E-2</v>
      </c>
      <c r="Q36" s="3">
        <f t="shared" si="12"/>
        <v>4.4398488415845941E-2</v>
      </c>
    </row>
    <row r="37" spans="7:17" x14ac:dyDescent="0.25">
      <c r="G37">
        <v>1.0797806678317047E-2</v>
      </c>
      <c r="H37">
        <f t="shared" si="15"/>
        <v>2.3987183923288424E-3</v>
      </c>
      <c r="J37">
        <v>2.5</v>
      </c>
      <c r="K37">
        <f t="shared" ref="K37:L37" si="19">K19*1000</f>
        <v>11.166466311955705</v>
      </c>
      <c r="L37">
        <f t="shared" si="19"/>
        <v>0.4957742251972993</v>
      </c>
      <c r="M37">
        <v>5.5</v>
      </c>
      <c r="N37">
        <v>1.077649528869817E-2</v>
      </c>
      <c r="O37">
        <f t="shared" si="13"/>
        <v>2.88659793814433E-4</v>
      </c>
      <c r="P37" s="3">
        <f t="shared" si="11"/>
        <v>3.3333333333333333E-2</v>
      </c>
      <c r="Q37" s="3">
        <f t="shared" si="12"/>
        <v>4.4398488415845941E-2</v>
      </c>
    </row>
    <row r="38" spans="7:17" x14ac:dyDescent="0.25">
      <c r="G38">
        <v>1.1166466311955706E-2</v>
      </c>
      <c r="H38">
        <f t="shared" si="15"/>
        <v>2.7673780259675016E-3</v>
      </c>
      <c r="J38">
        <v>3</v>
      </c>
      <c r="K38">
        <f t="shared" ref="K38:L38" si="20">K20*1000</f>
        <v>11.562451012254924</v>
      </c>
      <c r="L38">
        <f t="shared" si="20"/>
        <v>0.51335534732638644</v>
      </c>
      <c r="M38">
        <v>6</v>
      </c>
      <c r="N38">
        <v>1.077649528869817E-2</v>
      </c>
      <c r="O38">
        <f t="shared" si="13"/>
        <v>2.88659793814433E-4</v>
      </c>
      <c r="P38" s="3">
        <f t="shared" si="11"/>
        <v>3.3333333333333333E-2</v>
      </c>
      <c r="Q38" s="3">
        <f t="shared" si="12"/>
        <v>4.4398488415845941E-2</v>
      </c>
    </row>
    <row r="39" spans="7:17" x14ac:dyDescent="0.25">
      <c r="G39">
        <v>1.1562451012254924E-2</v>
      </c>
      <c r="H39">
        <f t="shared" si="15"/>
        <v>3.1633627262667198E-3</v>
      </c>
      <c r="J39">
        <v>3.5</v>
      </c>
      <c r="K39">
        <f t="shared" ref="K39:L39" si="21">K21*1000</f>
        <v>12.003608846165973</v>
      </c>
      <c r="L39">
        <f t="shared" si="21"/>
        <v>0.53294208830484591</v>
      </c>
      <c r="M39">
        <v>6.5</v>
      </c>
      <c r="N39">
        <v>1.077649528869817E-2</v>
      </c>
      <c r="O39">
        <f t="shared" si="13"/>
        <v>2.88659793814433E-4</v>
      </c>
      <c r="P39" s="3">
        <f t="shared" si="11"/>
        <v>3.3333333333333333E-2</v>
      </c>
      <c r="Q39" s="3">
        <f t="shared" si="12"/>
        <v>4.4398488415845941E-2</v>
      </c>
    </row>
    <row r="40" spans="7:17" x14ac:dyDescent="0.25">
      <c r="G40">
        <v>1.2003608846165973E-2</v>
      </c>
      <c r="H40">
        <f t="shared" si="15"/>
        <v>3.6045205601777687E-3</v>
      </c>
      <c r="J40">
        <v>4</v>
      </c>
      <c r="K40">
        <f t="shared" ref="K40:L40" si="22">K22*1000</f>
        <v>12.693137745586734</v>
      </c>
      <c r="L40">
        <f t="shared" si="22"/>
        <v>0.56355612915816944</v>
      </c>
      <c r="M40">
        <v>7</v>
      </c>
      <c r="N40">
        <v>1.077649528869817E-2</v>
      </c>
      <c r="O40">
        <f t="shared" si="13"/>
        <v>2.88659793814433E-4</v>
      </c>
      <c r="P40" s="3">
        <f t="shared" si="11"/>
        <v>3.3333333333333333E-2</v>
      </c>
      <c r="Q40" s="3">
        <f t="shared" si="12"/>
        <v>4.4398488415845941E-2</v>
      </c>
    </row>
    <row r="41" spans="7:17" x14ac:dyDescent="0.25">
      <c r="G41">
        <v>1.2693137745586733E-2</v>
      </c>
      <c r="H41">
        <f t="shared" si="15"/>
        <v>4.2940494595985288E-3</v>
      </c>
      <c r="J41">
        <v>4.5</v>
      </c>
      <c r="K41">
        <f t="shared" ref="K41:L41" si="23">K23*1000</f>
        <v>13.295888487153661</v>
      </c>
      <c r="L41">
        <f t="shared" si="23"/>
        <v>0.59031735097527127</v>
      </c>
      <c r="M41">
        <v>7.5</v>
      </c>
      <c r="N41">
        <v>1.077649528869817E-2</v>
      </c>
      <c r="O41">
        <f t="shared" si="13"/>
        <v>2.88659793814433E-4</v>
      </c>
      <c r="P41" s="3">
        <f t="shared" si="11"/>
        <v>3.3333333333333333E-2</v>
      </c>
      <c r="Q41" s="3">
        <f t="shared" si="12"/>
        <v>4.4398488415845941E-2</v>
      </c>
    </row>
    <row r="42" spans="7:17" x14ac:dyDescent="0.25">
      <c r="G42">
        <v>1.3295888487153662E-2</v>
      </c>
      <c r="H42">
        <f t="shared" si="15"/>
        <v>4.8968002011654573E-3</v>
      </c>
      <c r="J42">
        <v>5</v>
      </c>
      <c r="K42">
        <f t="shared" ref="K42:L42" si="24">K24*1000</f>
        <v>14.135156703541709</v>
      </c>
      <c r="L42">
        <f t="shared" si="24"/>
        <v>0.6275795911583637</v>
      </c>
      <c r="M42">
        <v>8</v>
      </c>
      <c r="N42">
        <v>1.077649528869817E-2</v>
      </c>
      <c r="O42">
        <f t="shared" si="13"/>
        <v>2.88659793814433E-4</v>
      </c>
      <c r="P42" s="3">
        <f t="shared" si="11"/>
        <v>3.3333333333333333E-2</v>
      </c>
      <c r="Q42" s="3">
        <f t="shared" si="12"/>
        <v>4.4398488415845941E-2</v>
      </c>
    </row>
    <row r="43" spans="7:17" x14ac:dyDescent="0.25">
      <c r="G43">
        <v>1.4135156703541709E-2</v>
      </c>
      <c r="H43">
        <f t="shared" si="15"/>
        <v>5.7360684175535043E-3</v>
      </c>
      <c r="J43">
        <v>5.5</v>
      </c>
      <c r="K43">
        <f t="shared" ref="K43:L43" si="25">K25*1000</f>
        <v>14.994756888522852</v>
      </c>
      <c r="L43">
        <f t="shared" si="25"/>
        <v>0.66574454001350802</v>
      </c>
    </row>
    <row r="44" spans="7:17" x14ac:dyDescent="0.25">
      <c r="G44">
        <v>1.4994756888522852E-2</v>
      </c>
      <c r="H44">
        <f t="shared" si="15"/>
        <v>6.5956686025346479E-3</v>
      </c>
      <c r="J44">
        <v>6</v>
      </c>
      <c r="K44">
        <f t="shared" ref="K44:L44" si="26">K26*1000</f>
        <v>15.84395271390933</v>
      </c>
      <c r="L44">
        <f t="shared" si="26"/>
        <v>0.70344755102971424</v>
      </c>
    </row>
    <row r="45" spans="7:17" x14ac:dyDescent="0.25">
      <c r="G45">
        <v>1.5843952713909329E-2</v>
      </c>
      <c r="H45">
        <f t="shared" si="15"/>
        <v>7.4448644279211246E-3</v>
      </c>
      <c r="J45">
        <v>6.5</v>
      </c>
      <c r="K45">
        <f t="shared" ref="K45:L45" si="27">K27*1000</f>
        <v>16.815564222002919</v>
      </c>
      <c r="L45">
        <f t="shared" si="27"/>
        <v>0.74658563331651007</v>
      </c>
    </row>
    <row r="46" spans="7:17" x14ac:dyDescent="0.25">
      <c r="G46">
        <v>1.6815564222002918E-2</v>
      </c>
      <c r="H46">
        <f t="shared" si="15"/>
        <v>8.4164759360147133E-3</v>
      </c>
      <c r="J46">
        <v>7</v>
      </c>
      <c r="K46">
        <f t="shared" ref="K46:L46" si="28">K28*1000</f>
        <v>17.941722063403731</v>
      </c>
      <c r="L46">
        <f t="shared" si="28"/>
        <v>0.79658533919235808</v>
      </c>
    </row>
    <row r="47" spans="7:17" x14ac:dyDescent="0.25">
      <c r="G47">
        <v>1.794172206340373E-2</v>
      </c>
      <c r="H47">
        <f t="shared" si="15"/>
        <v>9.5426337774155261E-3</v>
      </c>
      <c r="J47">
        <v>7.5</v>
      </c>
      <c r="K47">
        <f t="shared" ref="K47:L47" si="29">K29*1000</f>
        <v>19.074187479919001</v>
      </c>
      <c r="L47">
        <f>L29*1000</f>
        <v>0.84686509186885739</v>
      </c>
    </row>
    <row r="48" spans="7:17" x14ac:dyDescent="0.25">
      <c r="G48">
        <v>1.9074187479919E-2</v>
      </c>
      <c r="H48">
        <f t="shared" si="15"/>
        <v>1.0675099193930795E-2</v>
      </c>
      <c r="J48">
        <v>8</v>
      </c>
      <c r="K48">
        <f t="shared" ref="K48:L48" si="30">K30*1000</f>
        <v>20.328447275472517</v>
      </c>
      <c r="L48">
        <f t="shared" si="30"/>
        <v>0.90255233087220144</v>
      </c>
    </row>
    <row r="49" spans="2:13" x14ac:dyDescent="0.25">
      <c r="G49">
        <v>2.0328447275472516E-2</v>
      </c>
      <c r="H49">
        <f t="shared" si="15"/>
        <v>1.1929358989484311E-2</v>
      </c>
    </row>
    <row r="52" spans="2:13" x14ac:dyDescent="0.25">
      <c r="J52">
        <v>0</v>
      </c>
      <c r="K52">
        <v>0.1</v>
      </c>
      <c r="L52" s="2">
        <f>J52*J52</f>
        <v>0</v>
      </c>
      <c r="M52">
        <f>2*K52*J52</f>
        <v>0</v>
      </c>
    </row>
    <row r="53" spans="2:13" x14ac:dyDescent="0.25">
      <c r="J53">
        <v>0.5</v>
      </c>
      <c r="K53">
        <v>0.1</v>
      </c>
      <c r="L53" s="2">
        <f t="shared" ref="L53:L68" si="31">J53*J53</f>
        <v>0.25</v>
      </c>
      <c r="M53">
        <f>2*K53*J53</f>
        <v>0.1</v>
      </c>
    </row>
    <row r="54" spans="2:13" x14ac:dyDescent="0.25">
      <c r="B54" s="2">
        <v>10.149373346066474</v>
      </c>
      <c r="C54">
        <v>10.1</v>
      </c>
      <c r="J54">
        <v>1</v>
      </c>
      <c r="K54">
        <v>0.1</v>
      </c>
      <c r="L54" s="2">
        <f t="shared" si="31"/>
        <v>1</v>
      </c>
      <c r="M54">
        <f>2*K54*J54</f>
        <v>0.2</v>
      </c>
    </row>
    <row r="55" spans="2:13" x14ac:dyDescent="0.25">
      <c r="B55" s="2">
        <v>10.215521596046216</v>
      </c>
      <c r="C55">
        <v>10.199999999999999</v>
      </c>
      <c r="J55">
        <v>1.5</v>
      </c>
      <c r="K55">
        <v>0.1</v>
      </c>
      <c r="L55" s="2">
        <f t="shared" si="31"/>
        <v>2.25</v>
      </c>
      <c r="M55">
        <f>2*K55*J55</f>
        <v>0.30000000000000004</v>
      </c>
    </row>
    <row r="56" spans="2:13" x14ac:dyDescent="0.25">
      <c r="B56" s="2">
        <v>10.306271680812987</v>
      </c>
      <c r="C56">
        <v>10.3</v>
      </c>
      <c r="J56">
        <v>2</v>
      </c>
      <c r="K56">
        <v>0.1</v>
      </c>
      <c r="L56" s="2">
        <f t="shared" si="31"/>
        <v>4</v>
      </c>
      <c r="M56">
        <f>2*K56*J56</f>
        <v>0.4</v>
      </c>
    </row>
    <row r="57" spans="2:13" x14ac:dyDescent="0.25">
      <c r="B57" s="2">
        <v>10.482263196549216</v>
      </c>
      <c r="C57">
        <v>10.5</v>
      </c>
      <c r="J57">
        <v>2.5</v>
      </c>
      <c r="K57">
        <v>0.1</v>
      </c>
      <c r="L57" s="2">
        <f t="shared" si="31"/>
        <v>6.25</v>
      </c>
      <c r="M57">
        <f>2*K57*J57</f>
        <v>0.5</v>
      </c>
    </row>
    <row r="58" spans="2:13" x14ac:dyDescent="0.25">
      <c r="B58" s="2">
        <v>10.797806678317047</v>
      </c>
      <c r="C58">
        <v>10.8</v>
      </c>
      <c r="J58">
        <v>3</v>
      </c>
      <c r="K58">
        <v>0.1</v>
      </c>
      <c r="L58" s="2">
        <f t="shared" si="31"/>
        <v>9</v>
      </c>
      <c r="M58">
        <f>2*K58*J58</f>
        <v>0.60000000000000009</v>
      </c>
    </row>
    <row r="59" spans="2:13" x14ac:dyDescent="0.25">
      <c r="B59" s="2">
        <v>11.166466311955705</v>
      </c>
      <c r="C59">
        <v>11.2</v>
      </c>
      <c r="J59">
        <v>3.5</v>
      </c>
      <c r="K59">
        <v>0.1</v>
      </c>
      <c r="L59" s="2">
        <f t="shared" si="31"/>
        <v>12.25</v>
      </c>
      <c r="M59">
        <f>2*K59*J59</f>
        <v>0.70000000000000007</v>
      </c>
    </row>
    <row r="60" spans="2:13" x14ac:dyDescent="0.25">
      <c r="B60" s="2">
        <v>11.562451012254924</v>
      </c>
      <c r="C60">
        <v>11.6</v>
      </c>
      <c r="J60">
        <v>4</v>
      </c>
      <c r="K60">
        <v>0.1</v>
      </c>
      <c r="L60" s="2">
        <f t="shared" si="31"/>
        <v>16</v>
      </c>
      <c r="M60">
        <f>2*K60*J60</f>
        <v>0.8</v>
      </c>
    </row>
    <row r="61" spans="2:13" x14ac:dyDescent="0.25">
      <c r="B61" s="2">
        <v>12.003608846165973</v>
      </c>
      <c r="C61">
        <v>12</v>
      </c>
      <c r="J61">
        <v>4.5</v>
      </c>
      <c r="K61">
        <v>0.1</v>
      </c>
      <c r="L61" s="2">
        <f t="shared" si="31"/>
        <v>20.25</v>
      </c>
      <c r="M61">
        <f>2*K61*J61</f>
        <v>0.9</v>
      </c>
    </row>
    <row r="62" spans="2:13" x14ac:dyDescent="0.25">
      <c r="B62" s="2">
        <v>12.693137745586734</v>
      </c>
      <c r="C62">
        <v>12.693137745586734</v>
      </c>
      <c r="J62">
        <v>5</v>
      </c>
      <c r="K62">
        <v>0.1</v>
      </c>
      <c r="L62" s="2">
        <f t="shared" si="31"/>
        <v>25</v>
      </c>
      <c r="M62">
        <f>2*K62*J62</f>
        <v>1</v>
      </c>
    </row>
    <row r="63" spans="2:13" x14ac:dyDescent="0.25">
      <c r="B63" s="2">
        <v>13.295888487153661</v>
      </c>
      <c r="C63">
        <v>13.295888487153661</v>
      </c>
      <c r="J63">
        <v>5.5</v>
      </c>
      <c r="K63">
        <v>0.1</v>
      </c>
      <c r="L63" s="2">
        <f t="shared" si="31"/>
        <v>30.25</v>
      </c>
      <c r="M63">
        <f>2*K63*J63</f>
        <v>1.1000000000000001</v>
      </c>
    </row>
    <row r="64" spans="2:13" x14ac:dyDescent="0.25">
      <c r="B64" s="2">
        <v>14.135156703541709</v>
      </c>
      <c r="C64">
        <v>14.135156703541709</v>
      </c>
      <c r="J64">
        <v>6</v>
      </c>
      <c r="K64">
        <v>0.1</v>
      </c>
      <c r="L64" s="2">
        <f t="shared" si="31"/>
        <v>36</v>
      </c>
      <c r="M64">
        <f>2*K64*J64</f>
        <v>1.2000000000000002</v>
      </c>
    </row>
    <row r="65" spans="2:13" x14ac:dyDescent="0.25">
      <c r="B65" s="2">
        <v>14.994756888522852</v>
      </c>
      <c r="C65">
        <v>14.994756888522852</v>
      </c>
      <c r="J65">
        <v>6.5</v>
      </c>
      <c r="K65">
        <v>0.1</v>
      </c>
      <c r="L65" s="2">
        <f t="shared" si="31"/>
        <v>42.25</v>
      </c>
      <c r="M65">
        <f>2*K65*J65</f>
        <v>1.3</v>
      </c>
    </row>
    <row r="66" spans="2:13" x14ac:dyDescent="0.25">
      <c r="B66" s="2">
        <v>15.84395271390933</v>
      </c>
      <c r="C66">
        <v>15.84395271390933</v>
      </c>
      <c r="J66">
        <v>7</v>
      </c>
      <c r="K66">
        <v>0.1</v>
      </c>
      <c r="L66" s="2">
        <f t="shared" si="31"/>
        <v>49</v>
      </c>
      <c r="M66">
        <f>2*K66*J66</f>
        <v>1.4000000000000001</v>
      </c>
    </row>
    <row r="67" spans="2:13" x14ac:dyDescent="0.25">
      <c r="B67" s="2">
        <v>16.815564222002919</v>
      </c>
      <c r="C67">
        <v>16.815564222002919</v>
      </c>
      <c r="J67">
        <v>7.5</v>
      </c>
      <c r="K67">
        <v>0.1</v>
      </c>
      <c r="L67" s="2">
        <f t="shared" si="31"/>
        <v>56.25</v>
      </c>
      <c r="M67">
        <f>2*K67*J67</f>
        <v>1.5</v>
      </c>
    </row>
    <row r="68" spans="2:13" x14ac:dyDescent="0.25">
      <c r="B68" s="2">
        <v>17.941722063403731</v>
      </c>
      <c r="C68">
        <v>17.941722063403731</v>
      </c>
      <c r="J68">
        <v>8</v>
      </c>
      <c r="K68">
        <v>0.1</v>
      </c>
      <c r="L68" s="2">
        <f t="shared" si="31"/>
        <v>64</v>
      </c>
      <c r="M68">
        <f>2*K68*J68</f>
        <v>1.6</v>
      </c>
    </row>
    <row r="69" spans="2:13" x14ac:dyDescent="0.25">
      <c r="B69" s="2">
        <v>19.074187479919001</v>
      </c>
      <c r="C69">
        <v>19.074187479919001</v>
      </c>
    </row>
    <row r="70" spans="2:13" x14ac:dyDescent="0.25">
      <c r="B70" s="2">
        <v>20.328447275472517</v>
      </c>
      <c r="C70">
        <v>20.328447275472517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A6F54-EBB6-4CC8-975C-963BFA52791F}">
  <dimension ref="A1:D34"/>
  <sheetViews>
    <sheetView workbookViewId="0">
      <selection activeCell="F18" sqref="F18"/>
    </sheetView>
  </sheetViews>
  <sheetFormatPr defaultRowHeight="15" x14ac:dyDescent="0.25"/>
  <sheetData>
    <row r="1" spans="1:2" x14ac:dyDescent="0.25">
      <c r="A1">
        <v>0</v>
      </c>
      <c r="B1">
        <v>9.4474267777777801</v>
      </c>
    </row>
    <row r="2" spans="1:2" x14ac:dyDescent="0.25">
      <c r="A2">
        <v>0.5</v>
      </c>
      <c r="B2">
        <v>9.5090001111111082</v>
      </c>
    </row>
    <row r="3" spans="1:2" x14ac:dyDescent="0.25">
      <c r="A3">
        <v>1</v>
      </c>
      <c r="B3">
        <v>9.5934737777777777</v>
      </c>
    </row>
    <row r="4" spans="1:2" x14ac:dyDescent="0.25">
      <c r="A4">
        <v>1.5</v>
      </c>
      <c r="B4">
        <v>9.7572934444444446</v>
      </c>
    </row>
    <row r="5" spans="1:2" x14ac:dyDescent="0.25">
      <c r="A5">
        <v>2</v>
      </c>
      <c r="B5">
        <v>10.051013444444443</v>
      </c>
    </row>
    <row r="6" spans="1:2" x14ac:dyDescent="0.25">
      <c r="A6">
        <v>2.5</v>
      </c>
      <c r="B6">
        <v>10.394175999999998</v>
      </c>
    </row>
    <row r="7" spans="1:2" x14ac:dyDescent="0.25">
      <c r="A7">
        <v>3</v>
      </c>
      <c r="B7">
        <v>10.762773777777779</v>
      </c>
    </row>
    <row r="8" spans="1:2" x14ac:dyDescent="0.25">
      <c r="A8">
        <v>3.5</v>
      </c>
      <c r="B8">
        <v>11.173420444444444</v>
      </c>
    </row>
    <row r="9" spans="1:2" x14ac:dyDescent="0.25">
      <c r="A9">
        <v>4</v>
      </c>
      <c r="B9">
        <v>11.815260444444446</v>
      </c>
    </row>
    <row r="10" spans="1:2" x14ac:dyDescent="0.25">
      <c r="A10">
        <v>4.5</v>
      </c>
      <c r="B10">
        <v>12.376323999999999</v>
      </c>
    </row>
    <row r="11" spans="1:2" x14ac:dyDescent="0.25">
      <c r="A11">
        <v>5</v>
      </c>
      <c r="B11">
        <v>13.157547111111109</v>
      </c>
    </row>
    <row r="12" spans="1:2" x14ac:dyDescent="0.25">
      <c r="A12">
        <v>5.5</v>
      </c>
      <c r="B12">
        <v>13.957695999999999</v>
      </c>
    </row>
    <row r="13" spans="1:2" x14ac:dyDescent="0.25">
      <c r="A13">
        <v>6</v>
      </c>
      <c r="B13">
        <v>14.748160111111114</v>
      </c>
    </row>
    <row r="14" spans="1:2" x14ac:dyDescent="0.25">
      <c r="A14">
        <v>6.5</v>
      </c>
      <c r="B14">
        <v>15.652573444444444</v>
      </c>
    </row>
    <row r="15" spans="1:2" x14ac:dyDescent="0.25">
      <c r="A15">
        <v>7</v>
      </c>
      <c r="B15">
        <v>16.700844444444446</v>
      </c>
    </row>
    <row r="16" spans="1:2" x14ac:dyDescent="0.25">
      <c r="A16">
        <v>7.5</v>
      </c>
      <c r="B16">
        <v>17.754986777777777</v>
      </c>
    </row>
    <row r="17" spans="1:4" x14ac:dyDescent="0.25">
      <c r="A17">
        <v>8</v>
      </c>
      <c r="B17">
        <v>18.922499999999996</v>
      </c>
    </row>
    <row r="18" spans="1:4" x14ac:dyDescent="0.25">
      <c r="A18">
        <v>0</v>
      </c>
      <c r="B18">
        <v>3.073666666666667</v>
      </c>
      <c r="C18">
        <v>0</v>
      </c>
      <c r="D18">
        <f>SQRT(B18)</f>
        <v>1.7531875731554416</v>
      </c>
    </row>
    <row r="19" spans="1:4" x14ac:dyDescent="0.25">
      <c r="A19">
        <v>0.5</v>
      </c>
      <c r="B19">
        <v>3.0836666666666663</v>
      </c>
      <c r="C19">
        <v>0.5</v>
      </c>
      <c r="D19">
        <f t="shared" ref="D19:D34" si="0">SQRT(B19)</f>
        <v>1.7560372053765452</v>
      </c>
    </row>
    <row r="20" spans="1:4" x14ac:dyDescent="0.25">
      <c r="A20">
        <v>1</v>
      </c>
      <c r="B20">
        <v>3.0973333333333333</v>
      </c>
      <c r="C20">
        <v>1</v>
      </c>
      <c r="D20">
        <f t="shared" si="0"/>
        <v>1.7599242407937148</v>
      </c>
    </row>
    <row r="21" spans="1:4" x14ac:dyDescent="0.25">
      <c r="A21">
        <v>1.5</v>
      </c>
      <c r="B21">
        <v>3.1236666666666668</v>
      </c>
      <c r="C21">
        <v>1.5</v>
      </c>
      <c r="D21">
        <f t="shared" si="0"/>
        <v>1.7673897891146331</v>
      </c>
    </row>
    <row r="22" spans="1:4" x14ac:dyDescent="0.25">
      <c r="A22">
        <v>2</v>
      </c>
      <c r="B22">
        <v>3.1703333333333332</v>
      </c>
      <c r="C22">
        <v>2</v>
      </c>
      <c r="D22">
        <f t="shared" si="0"/>
        <v>1.7805429883418522</v>
      </c>
    </row>
    <row r="23" spans="1:4" x14ac:dyDescent="0.25">
      <c r="A23">
        <v>2.5</v>
      </c>
      <c r="B23">
        <v>3.2239999999999998</v>
      </c>
      <c r="C23">
        <v>2.5</v>
      </c>
      <c r="D23">
        <f t="shared" si="0"/>
        <v>1.7955500549970751</v>
      </c>
    </row>
    <row r="24" spans="1:4" x14ac:dyDescent="0.25">
      <c r="A24">
        <v>3</v>
      </c>
      <c r="B24">
        <v>3.2806666666666668</v>
      </c>
      <c r="C24">
        <v>3</v>
      </c>
      <c r="D24">
        <f t="shared" si="0"/>
        <v>1.8112610708196284</v>
      </c>
    </row>
    <row r="25" spans="1:4" x14ac:dyDescent="0.25">
      <c r="A25">
        <v>3.5</v>
      </c>
      <c r="B25">
        <v>3.3426666666666667</v>
      </c>
      <c r="C25">
        <v>3.5</v>
      </c>
      <c r="D25">
        <f t="shared" si="0"/>
        <v>1.8282961102257662</v>
      </c>
    </row>
    <row r="26" spans="1:4" x14ac:dyDescent="0.25">
      <c r="A26">
        <v>4</v>
      </c>
      <c r="B26">
        <v>3.4373333333333336</v>
      </c>
      <c r="C26">
        <v>4</v>
      </c>
      <c r="D26">
        <f t="shared" si="0"/>
        <v>1.854004674571597</v>
      </c>
    </row>
    <row r="27" spans="1:4" x14ac:dyDescent="0.25">
      <c r="A27">
        <v>4.5</v>
      </c>
      <c r="B27">
        <v>3.5179999999999998</v>
      </c>
      <c r="C27">
        <v>4.5</v>
      </c>
      <c r="D27">
        <f t="shared" si="0"/>
        <v>1.8756332264064848</v>
      </c>
    </row>
    <row r="28" spans="1:4" x14ac:dyDescent="0.25">
      <c r="A28">
        <v>5</v>
      </c>
      <c r="B28">
        <v>3.6273333333333331</v>
      </c>
      <c r="C28">
        <v>5</v>
      </c>
      <c r="D28">
        <f t="shared" si="0"/>
        <v>1.9045559412454476</v>
      </c>
    </row>
    <row r="29" spans="1:4" x14ac:dyDescent="0.25">
      <c r="A29">
        <v>5.5</v>
      </c>
      <c r="B29">
        <v>3.7359999999999998</v>
      </c>
      <c r="C29">
        <v>5.5</v>
      </c>
      <c r="D29">
        <f t="shared" si="0"/>
        <v>1.932873508535931</v>
      </c>
    </row>
    <row r="30" spans="1:4" x14ac:dyDescent="0.25">
      <c r="A30">
        <v>6</v>
      </c>
      <c r="B30">
        <v>3.8403333333333336</v>
      </c>
      <c r="C30">
        <v>6</v>
      </c>
      <c r="D30">
        <f t="shared" si="0"/>
        <v>1.9596768441080621</v>
      </c>
    </row>
    <row r="31" spans="1:4" x14ac:dyDescent="0.25">
      <c r="A31">
        <v>6.5</v>
      </c>
      <c r="B31">
        <v>3.9563333333333333</v>
      </c>
      <c r="C31">
        <v>6.5</v>
      </c>
      <c r="D31">
        <f t="shared" si="0"/>
        <v>1.9890533761901246</v>
      </c>
    </row>
    <row r="32" spans="1:4" x14ac:dyDescent="0.25">
      <c r="A32">
        <v>7</v>
      </c>
      <c r="B32">
        <v>4.0866666666666669</v>
      </c>
      <c r="C32">
        <v>7</v>
      </c>
      <c r="D32">
        <f t="shared" si="0"/>
        <v>2.0215505600075074</v>
      </c>
    </row>
    <row r="33" spans="1:4" x14ac:dyDescent="0.25">
      <c r="A33">
        <v>7.5</v>
      </c>
      <c r="B33">
        <v>4.2136666666666667</v>
      </c>
      <c r="C33">
        <v>7.5</v>
      </c>
      <c r="D33">
        <f t="shared" si="0"/>
        <v>2.052721770398187</v>
      </c>
    </row>
    <row r="34" spans="1:4" x14ac:dyDescent="0.25">
      <c r="A34">
        <v>8</v>
      </c>
      <c r="B34">
        <v>4.3499999999999996</v>
      </c>
      <c r="C34">
        <v>8</v>
      </c>
      <c r="D34">
        <f t="shared" si="0"/>
        <v>2.0856653614614209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17E0-A124-4BDC-9F2B-A03EB392D7F4}">
  <dimension ref="A1:H21"/>
  <sheetViews>
    <sheetView tabSelected="1" workbookViewId="0">
      <selection activeCell="G19" sqref="G19"/>
    </sheetView>
  </sheetViews>
  <sheetFormatPr defaultRowHeight="15" x14ac:dyDescent="0.25"/>
  <sheetData>
    <row r="1" spans="1:8" x14ac:dyDescent="0.25">
      <c r="A1" t="s">
        <v>34</v>
      </c>
      <c r="B1" t="s">
        <v>0</v>
      </c>
      <c r="C1" t="s">
        <v>1</v>
      </c>
      <c r="D1" t="s">
        <v>30</v>
      </c>
      <c r="E1" t="s">
        <v>17</v>
      </c>
      <c r="G1" t="s">
        <v>15</v>
      </c>
    </row>
    <row r="2" spans="1:8" x14ac:dyDescent="0.25">
      <c r="B2">
        <f>158.5/2</f>
        <v>79.25</v>
      </c>
      <c r="C2">
        <f>150.9/2</f>
        <v>75.45</v>
      </c>
      <c r="D2">
        <v>55.7</v>
      </c>
      <c r="E2">
        <v>771.7</v>
      </c>
    </row>
    <row r="3" spans="1:8" x14ac:dyDescent="0.25">
      <c r="B3">
        <f>B2/1000</f>
        <v>7.9250000000000001E-2</v>
      </c>
      <c r="C3">
        <f t="shared" ref="C3:E3" si="0">C2/1000</f>
        <v>7.5450000000000003E-2</v>
      </c>
      <c r="D3">
        <f t="shared" si="0"/>
        <v>5.57E-2</v>
      </c>
      <c r="E3">
        <f t="shared" si="0"/>
        <v>0.77170000000000005</v>
      </c>
      <c r="G3">
        <f>E3/2*(C3*C3+B3*B3)</f>
        <v>4.6198843002500005E-3</v>
      </c>
    </row>
    <row r="8" spans="1:8" x14ac:dyDescent="0.25">
      <c r="A8" t="s">
        <v>35</v>
      </c>
      <c r="B8" t="s">
        <v>0</v>
      </c>
      <c r="C8" t="s">
        <v>1</v>
      </c>
      <c r="D8" t="s">
        <v>30</v>
      </c>
      <c r="E8" t="s">
        <v>17</v>
      </c>
      <c r="G8" t="s">
        <v>15</v>
      </c>
    </row>
    <row r="9" spans="1:8" x14ac:dyDescent="0.25">
      <c r="B9">
        <f>160.1/2</f>
        <v>80.05</v>
      </c>
      <c r="C9">
        <f>150.9/2</f>
        <v>75.45</v>
      </c>
      <c r="D9">
        <v>55.7</v>
      </c>
      <c r="E9">
        <v>881.2</v>
      </c>
    </row>
    <row r="10" spans="1:8" x14ac:dyDescent="0.25">
      <c r="B10">
        <f>B9/1000</f>
        <v>8.0049999999999996E-2</v>
      </c>
      <c r="C10">
        <f t="shared" ref="C10" si="1">C9/1000</f>
        <v>7.5450000000000003E-2</v>
      </c>
      <c r="D10">
        <f t="shared" ref="D10" si="2">D9/1000</f>
        <v>5.57E-2</v>
      </c>
      <c r="E10">
        <f t="shared" ref="E10" si="3">E9/1000</f>
        <v>0.88120000000000009</v>
      </c>
      <c r="G10">
        <f>E10/2*B10*B10</f>
        <v>2.8233659015000001E-3</v>
      </c>
    </row>
    <row r="11" spans="1:8" x14ac:dyDescent="0.25">
      <c r="A11" t="s">
        <v>36</v>
      </c>
      <c r="B11" t="s">
        <v>0</v>
      </c>
      <c r="C11" t="s">
        <v>1</v>
      </c>
      <c r="D11" t="s">
        <v>30</v>
      </c>
      <c r="E11" t="s">
        <v>17</v>
      </c>
    </row>
    <row r="12" spans="1:8" x14ac:dyDescent="0.25">
      <c r="B12">
        <v>90</v>
      </c>
      <c r="C12">
        <f>150.9/2</f>
        <v>75.45</v>
      </c>
      <c r="D12">
        <v>55.7</v>
      </c>
      <c r="E12">
        <v>720.7</v>
      </c>
      <c r="H12">
        <f>G3+G10</f>
        <v>7.4432502017500006E-3</v>
      </c>
    </row>
    <row r="13" spans="1:8" x14ac:dyDescent="0.25">
      <c r="B13">
        <f>B12/1000</f>
        <v>0.09</v>
      </c>
      <c r="C13">
        <f t="shared" ref="C13" si="4">C12/1000</f>
        <v>7.5450000000000003E-2</v>
      </c>
      <c r="D13">
        <f t="shared" ref="D13" si="5">D12/1000</f>
        <v>5.57E-2</v>
      </c>
      <c r="E13">
        <f t="shared" ref="E13" si="6">E12/1000</f>
        <v>0.72070000000000001</v>
      </c>
      <c r="G13">
        <f>E13/8*B13*B13</f>
        <v>7.2970875000000007E-4</v>
      </c>
    </row>
    <row r="14" spans="1:8" x14ac:dyDescent="0.25">
      <c r="A14" t="s">
        <v>37</v>
      </c>
      <c r="B14" t="s">
        <v>0</v>
      </c>
      <c r="C14" t="s">
        <v>1</v>
      </c>
      <c r="D14" t="s">
        <v>30</v>
      </c>
      <c r="E14" t="s">
        <v>17</v>
      </c>
    </row>
    <row r="15" spans="1:8" x14ac:dyDescent="0.25">
      <c r="B15">
        <v>90</v>
      </c>
      <c r="C15">
        <f>150.9/2</f>
        <v>75.45</v>
      </c>
      <c r="D15">
        <v>55.7</v>
      </c>
      <c r="E15">
        <v>721.1</v>
      </c>
    </row>
    <row r="16" spans="1:8" x14ac:dyDescent="0.25">
      <c r="B16">
        <f>B15/1000</f>
        <v>0.09</v>
      </c>
      <c r="C16">
        <f t="shared" ref="C16" si="7">C15/1000</f>
        <v>7.5450000000000003E-2</v>
      </c>
      <c r="D16">
        <f t="shared" ref="D16" si="8">D15/1000</f>
        <v>5.57E-2</v>
      </c>
      <c r="E16">
        <f t="shared" ref="E16" si="9">E15/1000</f>
        <v>0.72110000000000007</v>
      </c>
      <c r="G16">
        <f>E16/8*B16*B16</f>
        <v>7.3011374999999994E-4</v>
      </c>
    </row>
    <row r="17" spans="1:7" x14ac:dyDescent="0.25">
      <c r="A17" t="s">
        <v>38</v>
      </c>
      <c r="B17" t="s">
        <v>39</v>
      </c>
      <c r="C17" t="s">
        <v>40</v>
      </c>
      <c r="D17" t="s">
        <v>41</v>
      </c>
      <c r="E17" t="s">
        <v>17</v>
      </c>
    </row>
    <row r="18" spans="1:7" x14ac:dyDescent="0.25">
      <c r="B18">
        <v>170</v>
      </c>
      <c r="C18">
        <v>27</v>
      </c>
      <c r="D18">
        <v>27.1</v>
      </c>
      <c r="E18">
        <v>1039.2</v>
      </c>
    </row>
    <row r="19" spans="1:7" x14ac:dyDescent="0.25">
      <c r="B19">
        <f>B18/1000</f>
        <v>0.17</v>
      </c>
      <c r="C19">
        <f t="shared" ref="C19" si="10">C18/1000</f>
        <v>2.7E-2</v>
      </c>
      <c r="D19">
        <f t="shared" ref="D19" si="11">D18/1000</f>
        <v>2.7100000000000003E-2</v>
      </c>
      <c r="E19">
        <f t="shared" ref="E19" si="12">E18/1000</f>
        <v>1.0392000000000001</v>
      </c>
      <c r="G19">
        <f>E19/12*(C19*C19+B19*B19)</f>
        <v>2.565871400000001E-3</v>
      </c>
    </row>
    <row r="21" spans="1:7" x14ac:dyDescent="0.25">
      <c r="A21" t="s">
        <v>42</v>
      </c>
      <c r="G21">
        <f>G13+G16</f>
        <v>1.4598225000000001E-3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теор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4709459</dc:creator>
  <cp:lastModifiedBy>никита</cp:lastModifiedBy>
  <dcterms:created xsi:type="dcterms:W3CDTF">2025-10-14T06:31:03Z</dcterms:created>
  <dcterms:modified xsi:type="dcterms:W3CDTF">2025-10-14T20:47:54Z</dcterms:modified>
</cp:coreProperties>
</file>