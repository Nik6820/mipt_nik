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b3d3d28a5afae6/Desktop/repositories/mipt_nik/Физос/Лабы/1.2.1/"/>
    </mc:Choice>
  </mc:AlternateContent>
  <xr:revisionPtr revIDLastSave="0" documentId="8_{D5BE641D-0A21-4193-B039-A673D959A4DB}" xr6:coauthVersionLast="45" xr6:coauthVersionMax="45" xr10:uidLastSave="{00000000-0000-0000-0000-000000000000}"/>
  <bookViews>
    <workbookView xWindow="8475" yWindow="3390" windowWidth="21600" windowHeight="11295" xr2:uid="{2E5CD8BF-0F77-4DCD-8912-6D872CFD329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9" i="1" l="1"/>
  <c r="E38" i="1"/>
  <c r="E37" i="1"/>
  <c r="E36" i="1"/>
  <c r="C37" i="1"/>
  <c r="C38" i="1"/>
  <c r="C39" i="1"/>
  <c r="C40" i="1"/>
  <c r="C36" i="1"/>
  <c r="B37" i="1"/>
  <c r="B38" i="1"/>
  <c r="B39" i="1"/>
  <c r="B40" i="1"/>
  <c r="B36" i="1"/>
  <c r="K67" i="1"/>
  <c r="K66" i="1"/>
  <c r="K65" i="1"/>
  <c r="J65" i="1"/>
  <c r="H66" i="1"/>
  <c r="H67" i="1"/>
  <c r="H68" i="1"/>
  <c r="H69" i="1"/>
  <c r="H65" i="1"/>
  <c r="G66" i="1"/>
  <c r="G67" i="1"/>
  <c r="G68" i="1"/>
  <c r="G69" i="1"/>
  <c r="G65" i="1"/>
  <c r="H41" i="1"/>
  <c r="H42" i="1"/>
  <c r="H43" i="1"/>
  <c r="H44" i="1"/>
  <c r="H40" i="1"/>
  <c r="I41" i="1"/>
  <c r="I42" i="1"/>
  <c r="I43" i="1"/>
  <c r="I44" i="1"/>
  <c r="I40" i="1"/>
  <c r="O58" i="1"/>
  <c r="O51" i="1"/>
  <c r="O55" i="1"/>
  <c r="O54" i="1"/>
  <c r="O53" i="1"/>
  <c r="O52" i="1"/>
  <c r="O45" i="1"/>
  <c r="O39" i="1"/>
  <c r="O40" i="1"/>
  <c r="O41" i="1"/>
  <c r="O42" i="1"/>
  <c r="O38" i="1"/>
  <c r="N28" i="1"/>
  <c r="G28" i="1"/>
  <c r="P19" i="1"/>
  <c r="L25" i="1"/>
  <c r="K25" i="1"/>
  <c r="J25" i="1"/>
  <c r="K20" i="1"/>
  <c r="K19" i="1"/>
  <c r="L20" i="1"/>
  <c r="L19" i="1"/>
  <c r="J20" i="1"/>
  <c r="J19" i="1"/>
  <c r="H20" i="1"/>
  <c r="H19" i="1"/>
  <c r="N6" i="1"/>
  <c r="N7" i="1"/>
  <c r="N8" i="1"/>
  <c r="N9" i="1"/>
  <c r="N5" i="1"/>
  <c r="O6" i="1"/>
  <c r="O7" i="1"/>
  <c r="O8" i="1"/>
  <c r="O9" i="1"/>
  <c r="O5" i="1"/>
  <c r="K6" i="1"/>
  <c r="K7" i="1"/>
  <c r="K8" i="1"/>
  <c r="K9" i="1"/>
  <c r="K5" i="1"/>
  <c r="C8" i="1"/>
  <c r="C5" i="1"/>
  <c r="G6" i="1"/>
  <c r="G7" i="1"/>
  <c r="G8" i="1"/>
  <c r="G9" i="1"/>
  <c r="G5" i="1"/>
</calcChain>
</file>

<file path=xl/sharedStrings.xml><?xml version="1.0" encoding="utf-8"?>
<sst xmlns="http://schemas.openxmlformats.org/spreadsheetml/2006/main" count="23" uniqueCount="22">
  <si>
    <t>deltam</t>
  </si>
  <si>
    <t>m</t>
  </si>
  <si>
    <t>dm</t>
  </si>
  <si>
    <t>M</t>
  </si>
  <si>
    <t>deltaM</t>
  </si>
  <si>
    <t>dM</t>
  </si>
  <si>
    <t>L</t>
  </si>
  <si>
    <t>deltaL</t>
  </si>
  <si>
    <t>dL</t>
  </si>
  <si>
    <t>x</t>
  </si>
  <si>
    <t>deltax</t>
  </si>
  <si>
    <t>dx</t>
  </si>
  <si>
    <t>U</t>
  </si>
  <si>
    <t>deltaU</t>
  </si>
  <si>
    <t>dU</t>
  </si>
  <si>
    <t>T</t>
  </si>
  <si>
    <t>deltaT</t>
  </si>
  <si>
    <t>dT</t>
  </si>
  <si>
    <t>T^2</t>
  </si>
  <si>
    <t>R</t>
  </si>
  <si>
    <t>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</si>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</sst>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80BF-3DC2-4087-A034-A97771C857F5}">
  <dimension ref="A4:P69"/>
  <sheetViews>
    <sheetView tabSelected="1" topLeftCell="A17" workbookViewId="0">
      <selection activeCell="E40" sqref="E40"/>
    </sheetView>
  </sheetViews>
  <sheetFormatPr defaultRowHeight="15" x14ac:dyDescent="0.25"/>
  <cols>
    <col min="13" max="13" width="18.85546875" bestFit="1" customWidth="1"/>
  </cols>
  <sheetData>
    <row r="4" spans="1:15" x14ac:dyDescent="0.25">
      <c r="A4" t="s">
        <v>3</v>
      </c>
      <c r="B4" t="s">
        <v>4</v>
      </c>
      <c r="C4" t="s">
        <v>5</v>
      </c>
      <c r="E4" t="s">
        <v>1</v>
      </c>
      <c r="F4" t="s">
        <v>0</v>
      </c>
      <c r="G4" t="s">
        <v>2</v>
      </c>
      <c r="I4" t="s">
        <v>9</v>
      </c>
      <c r="J4" t="s">
        <v>10</v>
      </c>
      <c r="K4" t="s">
        <v>11</v>
      </c>
      <c r="M4" t="s">
        <v>12</v>
      </c>
      <c r="N4" t="s">
        <v>13</v>
      </c>
      <c r="O4" t="s">
        <v>14</v>
      </c>
    </row>
    <row r="5" spans="1:15" x14ac:dyDescent="0.25">
      <c r="A5">
        <v>2.9049999999999998</v>
      </c>
      <c r="B5">
        <v>5.0000000000000001E-3</v>
      </c>
      <c r="C5">
        <f>B5/A5</f>
        <v>1.7211703958691911E-3</v>
      </c>
      <c r="E5">
        <v>0.499</v>
      </c>
      <c r="F5">
        <v>5.0000000000000001E-3</v>
      </c>
      <c r="G5">
        <f>F5/E5</f>
        <v>1.002004008016032E-2</v>
      </c>
      <c r="I5">
        <v>11.6</v>
      </c>
      <c r="J5">
        <v>0.5</v>
      </c>
      <c r="K5">
        <f>J5/I5</f>
        <v>4.3103448275862072E-2</v>
      </c>
      <c r="M5">
        <v>129.136562342231</v>
      </c>
      <c r="N5">
        <f>M5*O5</f>
        <v>7.1306359785080886</v>
      </c>
      <c r="O5">
        <f>K5+$C$5+G5+$C$8/2</f>
        <v>5.5217793080249787E-2</v>
      </c>
    </row>
    <row r="6" spans="1:15" x14ac:dyDescent="0.25">
      <c r="E6">
        <v>0.51</v>
      </c>
      <c r="F6">
        <v>5.0000000000000001E-3</v>
      </c>
      <c r="G6">
        <f t="shared" ref="G6:G9" si="0">F6/E6</f>
        <v>9.8039215686274508E-3</v>
      </c>
      <c r="I6">
        <v>11.8</v>
      </c>
      <c r="J6">
        <v>0.5</v>
      </c>
      <c r="K6">
        <f t="shared" ref="K6:K9" si="1">J6/I6</f>
        <v>4.2372881355932202E-2</v>
      </c>
      <c r="M6">
        <v>128.529734006681</v>
      </c>
      <c r="N6">
        <f t="shared" ref="N6:N9" si="2">M6*O6</f>
        <v>6.9754510303465498</v>
      </c>
      <c r="O6">
        <f t="shared" ref="O6:O9" si="3">K6+$C$5+G6+$C$8/2</f>
        <v>5.4271107648787051E-2</v>
      </c>
    </row>
    <row r="7" spans="1:15" x14ac:dyDescent="0.25">
      <c r="A7" t="s">
        <v>6</v>
      </c>
      <c r="B7" t="s">
        <v>7</v>
      </c>
      <c r="C7" t="s">
        <v>8</v>
      </c>
      <c r="E7">
        <v>0.51</v>
      </c>
      <c r="F7">
        <v>5.0000000000000001E-3</v>
      </c>
      <c r="G7">
        <f t="shared" si="0"/>
        <v>9.8039215686274508E-3</v>
      </c>
      <c r="I7">
        <v>11.4</v>
      </c>
      <c r="J7">
        <v>0.5</v>
      </c>
      <c r="K7">
        <f t="shared" si="1"/>
        <v>4.3859649122807015E-2</v>
      </c>
      <c r="M7">
        <v>124.17279387086199</v>
      </c>
      <c r="N7">
        <f t="shared" si="2"/>
        <v>6.9236111706661845</v>
      </c>
      <c r="O7">
        <f t="shared" si="3"/>
        <v>5.5757875415661864E-2</v>
      </c>
    </row>
    <row r="8" spans="1:15" x14ac:dyDescent="0.25">
      <c r="A8">
        <v>2680</v>
      </c>
      <c r="B8">
        <v>2</v>
      </c>
      <c r="C8">
        <f>B8/A8</f>
        <v>7.4626865671641792E-4</v>
      </c>
      <c r="E8">
        <v>0.50600000000000001</v>
      </c>
      <c r="F8">
        <v>5.0000000000000001E-3</v>
      </c>
      <c r="G8">
        <f t="shared" si="0"/>
        <v>9.881422924901186E-3</v>
      </c>
      <c r="I8">
        <v>11.4</v>
      </c>
      <c r="J8">
        <v>0.5</v>
      </c>
      <c r="K8">
        <f t="shared" si="1"/>
        <v>4.3859649122807015E-2</v>
      </c>
      <c r="M8">
        <v>125.154396984465</v>
      </c>
      <c r="N8">
        <f t="shared" si="2"/>
        <v>6.9880429102920036</v>
      </c>
      <c r="O8">
        <f t="shared" si="3"/>
        <v>5.5835376771935598E-2</v>
      </c>
    </row>
    <row r="9" spans="1:15" x14ac:dyDescent="0.25">
      <c r="E9">
        <v>0.505</v>
      </c>
      <c r="F9">
        <v>5.0000000000000001E-3</v>
      </c>
      <c r="G9">
        <f t="shared" si="0"/>
        <v>9.9009900990099011E-3</v>
      </c>
      <c r="I9">
        <v>11.1</v>
      </c>
      <c r="J9">
        <v>0.5</v>
      </c>
      <c r="K9">
        <f t="shared" si="1"/>
        <v>4.504504504504505E-2</v>
      </c>
      <c r="M9">
        <v>122.102168855819</v>
      </c>
      <c r="N9">
        <f t="shared" si="2"/>
        <v>6.9647492101903161</v>
      </c>
      <c r="O9">
        <f t="shared" si="3"/>
        <v>5.7040339868282351E-2</v>
      </c>
    </row>
    <row r="18" spans="1:16" x14ac:dyDescent="0.25">
      <c r="F18" t="s">
        <v>15</v>
      </c>
      <c r="G18" t="s">
        <v>16</v>
      </c>
      <c r="H18" t="s">
        <v>17</v>
      </c>
      <c r="J18" t="s">
        <v>18</v>
      </c>
      <c r="N18" t="s">
        <v>3</v>
      </c>
    </row>
    <row r="19" spans="1:16" x14ac:dyDescent="0.25">
      <c r="F19">
        <v>6.62</v>
      </c>
      <c r="G19">
        <v>0.06</v>
      </c>
      <c r="H19">
        <f>G19/F19</f>
        <v>9.0634441087613284E-3</v>
      </c>
      <c r="J19">
        <f>F19*F19</f>
        <v>43.824400000000004</v>
      </c>
      <c r="K19">
        <f>J19*L19</f>
        <v>0.7944</v>
      </c>
      <c r="L19">
        <f>H19*2</f>
        <v>1.8126888217522657E-2</v>
      </c>
      <c r="N19">
        <v>0.71340000000000003</v>
      </c>
      <c r="O19">
        <v>1E-4</v>
      </c>
      <c r="P19">
        <f>O19/N19</f>
        <v>1.4017381553125876E-4</v>
      </c>
    </row>
    <row r="20" spans="1:16" x14ac:dyDescent="0.25">
      <c r="F20">
        <v>5</v>
      </c>
      <c r="G20">
        <v>0.06</v>
      </c>
      <c r="H20">
        <f>G20/F20</f>
        <v>1.2E-2</v>
      </c>
      <c r="J20">
        <f>F20*F20</f>
        <v>25</v>
      </c>
      <c r="K20">
        <f>J20*L20</f>
        <v>0.6</v>
      </c>
      <c r="L20">
        <f>H20*2</f>
        <v>2.4E-2</v>
      </c>
    </row>
    <row r="25" spans="1:16" x14ac:dyDescent="0.25">
      <c r="J25">
        <f>J19-J20</f>
        <v>18.824400000000004</v>
      </c>
      <c r="K25">
        <f>K20+K19</f>
        <v>1.3944000000000001</v>
      </c>
      <c r="L25">
        <f>K25/J25</f>
        <v>7.4074074074074056E-2</v>
      </c>
    </row>
    <row r="27" spans="1:16" x14ac:dyDescent="0.25">
      <c r="E27" t="s">
        <v>19</v>
      </c>
    </row>
    <row r="28" spans="1:16" x14ac:dyDescent="0.25">
      <c r="E28">
        <v>0.33</v>
      </c>
      <c r="F28">
        <v>2E-3</v>
      </c>
      <c r="G28">
        <f>F28/E28</f>
        <v>6.0606060606060606E-3</v>
      </c>
      <c r="L28">
        <v>0.34</v>
      </c>
      <c r="M28">
        <v>0.03</v>
      </c>
      <c r="N28">
        <f>P19+2*G28+H19+L25</f>
        <v>9.539890411957877E-2</v>
      </c>
    </row>
    <row r="31" spans="1:16" x14ac:dyDescent="0.25">
      <c r="A31">
        <v>129</v>
      </c>
    </row>
    <row r="32" spans="1:16" x14ac:dyDescent="0.25">
      <c r="A32">
        <v>128</v>
      </c>
      <c r="D32">
        <v>126</v>
      </c>
    </row>
    <row r="33" spans="1:15" x14ac:dyDescent="0.25">
      <c r="A33">
        <v>124</v>
      </c>
    </row>
    <row r="34" spans="1:15" x14ac:dyDescent="0.25">
      <c r="A34">
        <v>125</v>
      </c>
    </row>
    <row r="35" spans="1:15" x14ac:dyDescent="0.25">
      <c r="A35">
        <v>122</v>
      </c>
    </row>
    <row r="36" spans="1:15" x14ac:dyDescent="0.25">
      <c r="B36">
        <f>A31-$D$32</f>
        <v>3</v>
      </c>
      <c r="C36">
        <f>B36*B36</f>
        <v>9</v>
      </c>
      <c r="E36">
        <f>SUM(C36:C40)</f>
        <v>34</v>
      </c>
    </row>
    <row r="37" spans="1:15" x14ac:dyDescent="0.25">
      <c r="B37">
        <f t="shared" ref="B37:B40" si="4">A32-$D$32</f>
        <v>2</v>
      </c>
      <c r="C37">
        <f t="shared" ref="C37:C40" si="5">B37*B37</f>
        <v>4</v>
      </c>
      <c r="E37">
        <f>E36/5</f>
        <v>6.8</v>
      </c>
    </row>
    <row r="38" spans="1:15" x14ac:dyDescent="0.25">
      <c r="B38">
        <f t="shared" si="4"/>
        <v>-2</v>
      </c>
      <c r="C38">
        <f t="shared" si="5"/>
        <v>4</v>
      </c>
      <c r="E38">
        <f>SQRT(E37)</f>
        <v>2.6076809620810595</v>
      </c>
      <c r="M38">
        <v>5.3999999999999999E-2</v>
      </c>
      <c r="N38">
        <v>2E-3</v>
      </c>
      <c r="O38">
        <f>N38/M38</f>
        <v>3.7037037037037035E-2</v>
      </c>
    </row>
    <row r="39" spans="1:15" x14ac:dyDescent="0.25">
      <c r="B39">
        <f t="shared" si="4"/>
        <v>-1</v>
      </c>
      <c r="C39">
        <f t="shared" si="5"/>
        <v>1</v>
      </c>
      <c r="E39">
        <f>E38/SQRT(5)</f>
        <v>1.16619037896906</v>
      </c>
      <c r="M39">
        <v>5.6000000000000001E-2</v>
      </c>
      <c r="N39">
        <v>2E-3</v>
      </c>
      <c r="O39">
        <f t="shared" ref="O39:O42" si="6">N39/M39</f>
        <v>3.5714285714285712E-2</v>
      </c>
    </row>
    <row r="40" spans="1:15" x14ac:dyDescent="0.25">
      <c r="B40">
        <f t="shared" si="4"/>
        <v>-4</v>
      </c>
      <c r="C40">
        <f t="shared" si="5"/>
        <v>16</v>
      </c>
      <c r="G40">
        <v>96.068315246397404</v>
      </c>
      <c r="H40">
        <f>G40*I40</f>
        <v>8.3665081596317048</v>
      </c>
      <c r="I40">
        <f>O38+$O$45+O51+$O$58+$M$28</f>
        <v>8.7089152528314492E-2</v>
      </c>
      <c r="M40">
        <v>5.6000000000000001E-2</v>
      </c>
      <c r="N40">
        <v>2E-3</v>
      </c>
      <c r="O40">
        <f t="shared" si="6"/>
        <v>3.5714285714285712E-2</v>
      </c>
    </row>
    <row r="41" spans="1:15" x14ac:dyDescent="0.25">
      <c r="G41">
        <v>99.431818181818102</v>
      </c>
      <c r="H41">
        <f t="shared" ref="H41:H44" si="7">G41*I41</f>
        <v>8.5260089879830989</v>
      </c>
      <c r="I41">
        <f t="shared" ref="I41:I44" si="8">O39+$O$45+O52+$O$58+$M$28</f>
        <v>8.5747290393430098E-2</v>
      </c>
      <c r="M41">
        <v>5.7000000000000002E-2</v>
      </c>
      <c r="N41">
        <v>2E-3</v>
      </c>
      <c r="O41">
        <f t="shared" si="6"/>
        <v>3.5087719298245612E-2</v>
      </c>
    </row>
    <row r="42" spans="1:15" x14ac:dyDescent="0.25">
      <c r="G42">
        <v>100.61085159899299</v>
      </c>
      <c r="H42">
        <f t="shared" si="7"/>
        <v>8.6387584366268584</v>
      </c>
      <c r="I42">
        <f t="shared" si="8"/>
        <v>8.5863088318331282E-2</v>
      </c>
      <c r="M42">
        <v>5.7000000000000002E-2</v>
      </c>
      <c r="N42">
        <v>2E-3</v>
      </c>
      <c r="O42">
        <f t="shared" si="6"/>
        <v>3.5087719298245612E-2</v>
      </c>
    </row>
    <row r="43" spans="1:15" x14ac:dyDescent="0.25">
      <c r="G43">
        <v>101.80389355242001</v>
      </c>
      <c r="H43">
        <f t="shared" si="7"/>
        <v>8.6714807220031016</v>
      </c>
      <c r="I43">
        <f t="shared" si="8"/>
        <v>8.5178281688588417E-2</v>
      </c>
    </row>
    <row r="44" spans="1:15" x14ac:dyDescent="0.25">
      <c r="G44">
        <v>101.604278074866</v>
      </c>
      <c r="H44">
        <f t="shared" si="7"/>
        <v>8.6525208041407833</v>
      </c>
      <c r="I44">
        <f t="shared" si="8"/>
        <v>8.5159020546017442E-2</v>
      </c>
      <c r="M44" t="s">
        <v>20</v>
      </c>
    </row>
    <row r="45" spans="1:15" x14ac:dyDescent="0.25">
      <c r="M45">
        <v>1700</v>
      </c>
      <c r="N45">
        <v>2</v>
      </c>
      <c r="O45">
        <f>N45/M45</f>
        <v>1.176470588235294E-3</v>
      </c>
    </row>
    <row r="51" spans="6:15" x14ac:dyDescent="0.25">
      <c r="M51">
        <v>0.51100000000000001</v>
      </c>
      <c r="N51">
        <v>5.0000000000000001E-3</v>
      </c>
      <c r="O51">
        <f>N51/M51</f>
        <v>9.7847358121330719E-3</v>
      </c>
    </row>
    <row r="52" spans="6:15" x14ac:dyDescent="0.25">
      <c r="M52">
        <v>0.51200000000000001</v>
      </c>
      <c r="N52">
        <v>5.0000000000000001E-3</v>
      </c>
      <c r="O52">
        <f t="shared" ref="O52:O55" si="9">N52/M52</f>
        <v>9.765625E-3</v>
      </c>
    </row>
    <row r="53" spans="6:15" x14ac:dyDescent="0.25">
      <c r="M53">
        <v>0.50600000000000001</v>
      </c>
      <c r="N53">
        <v>5.0000000000000001E-3</v>
      </c>
      <c r="O53">
        <f t="shared" si="9"/>
        <v>9.881422924901186E-3</v>
      </c>
    </row>
    <row r="54" spans="6:15" x14ac:dyDescent="0.25">
      <c r="M54">
        <v>0.50900000000000001</v>
      </c>
      <c r="N54">
        <v>5.0000000000000001E-3</v>
      </c>
      <c r="O54">
        <f t="shared" si="9"/>
        <v>9.823182711198428E-3</v>
      </c>
    </row>
    <row r="55" spans="6:15" x14ac:dyDescent="0.25">
      <c r="M55">
        <v>0.51</v>
      </c>
      <c r="N55">
        <v>5.0000000000000001E-3</v>
      </c>
      <c r="O55">
        <f t="shared" si="9"/>
        <v>9.8039215686274508E-3</v>
      </c>
    </row>
    <row r="57" spans="6:15" x14ac:dyDescent="0.25">
      <c r="F57">
        <v>96</v>
      </c>
      <c r="M57" t="s">
        <v>21</v>
      </c>
    </row>
    <row r="58" spans="6:15" x14ac:dyDescent="0.25">
      <c r="F58">
        <v>99</v>
      </c>
      <c r="M58">
        <v>0.22</v>
      </c>
      <c r="N58">
        <v>2E-3</v>
      </c>
      <c r="O58">
        <f>N58/M58</f>
        <v>9.0909090909090905E-3</v>
      </c>
    </row>
    <row r="59" spans="6:15" x14ac:dyDescent="0.25">
      <c r="F59">
        <v>100</v>
      </c>
    </row>
    <row r="60" spans="6:15" x14ac:dyDescent="0.25">
      <c r="F60">
        <v>102</v>
      </c>
      <c r="H60">
        <v>100</v>
      </c>
    </row>
    <row r="61" spans="6:15" x14ac:dyDescent="0.25">
      <c r="F61">
        <v>102</v>
      </c>
    </row>
    <row r="65" spans="7:11" x14ac:dyDescent="0.25">
      <c r="G65">
        <f>$H$60-F57</f>
        <v>4</v>
      </c>
      <c r="H65">
        <f>G65*G65</f>
        <v>16</v>
      </c>
      <c r="J65">
        <f>SUM(H65:H69)</f>
        <v>25</v>
      </c>
      <c r="K65">
        <f>J65/5</f>
        <v>5</v>
      </c>
    </row>
    <row r="66" spans="7:11" x14ac:dyDescent="0.25">
      <c r="G66">
        <f t="shared" ref="G66:G69" si="10">$H$60-F58</f>
        <v>1</v>
      </c>
      <c r="H66">
        <f t="shared" ref="H66:H69" si="11">G66*G66</f>
        <v>1</v>
      </c>
      <c r="K66">
        <f>SQRT(K65)</f>
        <v>2.2360679774997898</v>
      </c>
    </row>
    <row r="67" spans="7:11" x14ac:dyDescent="0.25">
      <c r="G67">
        <f t="shared" si="10"/>
        <v>0</v>
      </c>
      <c r="H67">
        <f t="shared" si="11"/>
        <v>0</v>
      </c>
      <c r="K67">
        <f>K66/SQRT(5)</f>
        <v>1</v>
      </c>
    </row>
    <row r="68" spans="7:11" x14ac:dyDescent="0.25">
      <c r="G68">
        <f t="shared" si="10"/>
        <v>-2</v>
      </c>
      <c r="H68">
        <f t="shared" si="11"/>
        <v>4</v>
      </c>
    </row>
    <row r="69" spans="7:11" x14ac:dyDescent="0.25">
      <c r="G69">
        <f t="shared" si="10"/>
        <v>-2</v>
      </c>
      <c r="H69">
        <f t="shared" si="11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губарев</dc:creator>
  <cp:lastModifiedBy>никита губарев</cp:lastModifiedBy>
  <dcterms:created xsi:type="dcterms:W3CDTF">2025-10-13T20:55:26Z</dcterms:created>
  <dcterms:modified xsi:type="dcterms:W3CDTF">2025-10-13T22:26:45Z</dcterms:modified>
</cp:coreProperties>
</file>